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illiam Garib\Desktop\"/>
    </mc:Choice>
  </mc:AlternateContent>
  <xr:revisionPtr revIDLastSave="0" documentId="13_ncr:1_{55FCE97E-9186-4960-A7AE-D07FF5EA746D}" xr6:coauthVersionLast="47" xr6:coauthVersionMax="47" xr10:uidLastSave="{00000000-0000-0000-0000-000000000000}"/>
  <bookViews>
    <workbookView xWindow="-120" yWindow="-120" windowWidth="20640" windowHeight="11160" firstSheet="1" activeTab="1" xr2:uid="{06F5FA7A-FCEB-4CE6-94FE-00E3EE73A79B}"/>
  </bookViews>
  <sheets>
    <sheet name="Planilha1" sheetId="1" state="hidden" r:id="rId1"/>
    <sheet name="Arquivo" sheetId="2" r:id="rId2"/>
    <sheet name="Lote" sheetId="4" r:id="rId3"/>
    <sheet name="Lote Datalhe" sheetId="3" r:id="rId4"/>
    <sheet name="Lote Datalhe (2)" sheetId="8" r:id="rId5"/>
    <sheet name="Saída" sheetId="6" r:id="rId6"/>
    <sheet name="Consulta" sheetId="7" r:id="rId7"/>
    <sheet name="Listas" sheetId="5" r:id="rId8"/>
  </sheets>
  <functionGroups builtInGroupCount="19"/>
  <definedNames>
    <definedName name="_xlnm._FilterDatabase" localSheetId="3" hidden="1">'Lote Datalhe'!$B$4:$K$4</definedName>
    <definedName name="CNPJs" localSheetId="4">Empresas[CNPJ]</definedName>
    <definedName name="CNPJs">Empresas[CNPJ]</definedName>
    <definedName name="FormaPgmt" localSheetId="4">Forma_Pgmt[Forma de Pagamento]</definedName>
    <definedName name="FormaPgmt">Forma_Pgmt[Forma de Pagamento]</definedName>
    <definedName name="TipoPgmt" localSheetId="4">Tipo_Pgmt[Tipo de Pagamento]</definedName>
    <definedName name="TipoPgmt">Tipo_Pgmt[Tipo de Pagamento]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03" i="7" l="1"/>
  <c r="H102" i="7"/>
  <c r="H101" i="7"/>
  <c r="H100" i="7"/>
  <c r="H99" i="7"/>
  <c r="H98" i="7"/>
  <c r="H97" i="7"/>
  <c r="H95" i="7"/>
  <c r="H94" i="7"/>
  <c r="H93" i="7"/>
  <c r="H92" i="7"/>
  <c r="H91" i="7"/>
  <c r="H90" i="7"/>
  <c r="H89" i="7"/>
  <c r="H88" i="7"/>
  <c r="H87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I4" i="4" l="1"/>
  <c r="C10" i="4" l="1"/>
  <c r="F10" i="4" s="1"/>
  <c r="C9" i="4"/>
  <c r="F9" i="4" s="1"/>
  <c r="C8" i="4"/>
  <c r="F8" i="4" s="1"/>
  <c r="C7" i="4"/>
  <c r="F7" i="4" s="1"/>
  <c r="F6" i="4"/>
  <c r="F5" i="4"/>
  <c r="F4" i="4"/>
  <c r="C7" i="2"/>
  <c r="C6" i="2"/>
  <c r="C5" i="2"/>
  <c r="C8" i="2"/>
  <c r="F4" i="2"/>
  <c r="F10" i="2"/>
  <c r="F9" i="2"/>
  <c r="F8" i="2" l="1"/>
  <c r="F6" i="2"/>
  <c r="F7" i="2"/>
  <c r="F5" i="2"/>
</calcChain>
</file>

<file path=xl/sharedStrings.xml><?xml version="1.0" encoding="utf-8"?>
<sst xmlns="http://schemas.openxmlformats.org/spreadsheetml/2006/main" count="876" uniqueCount="597">
  <si>
    <t>5*0</t>
  </si>
  <si>
    <t>6*B</t>
  </si>
  <si>
    <t>080</t>
  </si>
  <si>
    <t>341</t>
  </si>
  <si>
    <t>CNPJ</t>
  </si>
  <si>
    <t>20*B</t>
  </si>
  <si>
    <t>AGENCIA (COMISSÃO)</t>
  </si>
  <si>
    <t>1*B</t>
  </si>
  <si>
    <t>CONTA</t>
  </si>
  <si>
    <t>DAC</t>
  </si>
  <si>
    <t>NOME DA EMPRESA</t>
  </si>
  <si>
    <t>ITAÚ UNIBANCO S.A</t>
  </si>
  <si>
    <t>10*B</t>
  </si>
  <si>
    <t>1</t>
  </si>
  <si>
    <t>NOME DO BANCO</t>
  </si>
  <si>
    <t>DATA DE GERAÇÃO</t>
  </si>
  <si>
    <t>HORA DE GERAÇÃO</t>
  </si>
  <si>
    <t>DDMMAAAA</t>
  </si>
  <si>
    <t>HHMMSS</t>
  </si>
  <si>
    <t>ZEROS</t>
  </si>
  <si>
    <t>69*B</t>
  </si>
  <si>
    <t>Editável</t>
  </si>
  <si>
    <t>Conteúdo</t>
  </si>
  <si>
    <t>Tamanho</t>
  </si>
  <si>
    <t>0001</t>
  </si>
  <si>
    <t>C</t>
  </si>
  <si>
    <t>DIVIDENDOS</t>
  </si>
  <si>
    <t>DEBÊNTURES</t>
  </si>
  <si>
    <t>FORNECEDORES</t>
  </si>
  <si>
    <t>TRIBUTOS</t>
  </si>
  <si>
    <t>SALÁRIOS</t>
  </si>
  <si>
    <t>BENEFÍCIOS</t>
  </si>
  <si>
    <t>DIVERSOS</t>
  </si>
  <si>
    <t>CRÉDITO EM CONTA CORRENTE NO ITAÚ</t>
  </si>
  <si>
    <t>CHEQUE PAGAMENTO/ADMINISTRATIVO</t>
  </si>
  <si>
    <t>DOC “C”</t>
  </si>
  <si>
    <t>CRÉDITO EM CONTA POUPANÇA NO ITAÚ</t>
  </si>
  <si>
    <t>CRÉDITO EM CONTA CORRENTE DE MESMA TITULARIDADE</t>
  </si>
  <si>
    <t>DOC “D”</t>
  </si>
  <si>
    <t>ORDEM DE PAGAMENTO À DISPOSIÇÃO</t>
  </si>
  <si>
    <t>PAGAMENTO DE CONCESSIONÁRIAS</t>
  </si>
  <si>
    <t>DARF NORMAL</t>
  </si>
  <si>
    <t>GPS - GUIA DA PREVIDÊNCIA SOCIAL</t>
  </si>
  <si>
    <t>DARF SIMPLES</t>
  </si>
  <si>
    <t>IPTU/ISS/OUTROS TRIBUTOS MUNICIPAIS</t>
  </si>
  <si>
    <t>GARE – SP ICMS</t>
  </si>
  <si>
    <t>IPVA</t>
  </si>
  <si>
    <t>DPVAT</t>
  </si>
  <si>
    <t>PAGAMENTO DE TÍTULOS EM COBRANÇA NO ITAÚ</t>
  </si>
  <si>
    <t>PAGAMENTO DE TÍTULOS EM COBRANÇA EM OUTROS BANCOS</t>
  </si>
  <si>
    <t>NOTA FISCAL – LIQUIDAÇÃO ELETRÔNICA</t>
  </si>
  <si>
    <t>FGTS</t>
  </si>
  <si>
    <t>TED – OUTRO TITULAR</t>
  </si>
  <si>
    <t>TED – MESMO TITULAR</t>
  </si>
  <si>
    <t>CARTÃO SALÁRIO</t>
  </si>
  <si>
    <t>GNRE E TRIBUTOS COM CÓDIGO DE BARRAS</t>
  </si>
  <si>
    <t>Forma de Pagmet</t>
  </si>
  <si>
    <t>FUNDOS DE INVESTIMENTOS</t>
  </si>
  <si>
    <t>SINISTROS DE SEGUROS</t>
  </si>
  <si>
    <t>DESPESAS VIAJANTE EM TRANSITO</t>
  </si>
  <si>
    <t>REPRESENTANTES AUTORIZADOS</t>
  </si>
  <si>
    <t>01</t>
  </si>
  <si>
    <t>040</t>
  </si>
  <si>
    <t>4*B</t>
  </si>
  <si>
    <t>30*B</t>
  </si>
  <si>
    <t>8*B</t>
  </si>
  <si>
    <t>3</t>
  </si>
  <si>
    <t>A</t>
  </si>
  <si>
    <t>NOME DO FAVORECIDO</t>
  </si>
  <si>
    <t>AGENCIA CONTA DO FAVORECIDO</t>
  </si>
  <si>
    <t>BANCO FAVORECIDO</t>
  </si>
  <si>
    <t>DATA DE PAGAMENTO (PREVISÃO)</t>
  </si>
  <si>
    <t>009</t>
  </si>
  <si>
    <t>7*0</t>
  </si>
  <si>
    <t>9(13)V9(02)</t>
  </si>
  <si>
    <t>15*B</t>
  </si>
  <si>
    <t>5*B</t>
  </si>
  <si>
    <t>VALOR PREVISTO</t>
  </si>
  <si>
    <t>VALOR EFETIVO</t>
  </si>
  <si>
    <t>2*B</t>
  </si>
  <si>
    <t>N° DO DOCUMENTO</t>
  </si>
  <si>
    <t>CPF FAVORECIDO</t>
  </si>
  <si>
    <t>FINALIDADE TED</t>
  </si>
  <si>
    <t>AVISO</t>
  </si>
  <si>
    <t>Arquivo</t>
  </si>
  <si>
    <t>Tipo Pagamento</t>
  </si>
  <si>
    <t>Forma Pagamento</t>
  </si>
  <si>
    <t>BANCO DO BRASIL S.A (BB)</t>
  </si>
  <si>
    <t>BRADESCO S.A</t>
  </si>
  <si>
    <t>Banco Digio S.A</t>
  </si>
  <si>
    <t>NU PAGAMENTOS S.A (NUBANK)</t>
  </si>
  <si>
    <t>Pagseguro Internet S.A (PagBank)</t>
  </si>
  <si>
    <t>PicPay Servicos S.A.</t>
  </si>
  <si>
    <t>Mercado Pago - conta do Mercado Livre</t>
  </si>
  <si>
    <t>NEXT BANK (UTILIZAR O MESMO CÓDIGO DO BRADESCO)</t>
  </si>
  <si>
    <t>BANCO SOFISA S.A (SOFISA DIRETO)</t>
  </si>
  <si>
    <t>BANCO INTER S.A</t>
  </si>
  <si>
    <t>CAIXA ECONÔMICA FEDERAL (CEF)</t>
  </si>
  <si>
    <t>BANCO SANTANDER BRASIL S.A</t>
  </si>
  <si>
    <t>BANCO ORIGINAL S.A</t>
  </si>
  <si>
    <t>BANCOOB (BANCO COOPERATIVO DO BRASIL)</t>
  </si>
  <si>
    <t>BANCO VOTORANTIM S.A</t>
  </si>
  <si>
    <t>NEON PAGAMENTOS S.A (OS MESMOS DADOS DO BANCO VOTORANTIM)</t>
  </si>
  <si>
    <t>BANRISUL – BANCO DO ESTADO DO RIO GRANDE DO SUL S.A</t>
  </si>
  <si>
    <t>BANCO MERCANTIL DO BRASIL S.A</t>
  </si>
  <si>
    <t>BANCO SAFRA S.A</t>
  </si>
  <si>
    <t>BANCO DE BRASÍLIA (BRB)</t>
  </si>
  <si>
    <t>UNICRED COOPERATIVA</t>
  </si>
  <si>
    <t>BANCO RIBEIRÃO PRETO</t>
  </si>
  <si>
    <t>BANCO CETELEM S.A</t>
  </si>
  <si>
    <t>BANCO SEMEAR S.A</t>
  </si>
  <si>
    <t>PLANNER CORRETORA DE VALORES S.A</t>
  </si>
  <si>
    <t>BANCO B3 S.A</t>
  </si>
  <si>
    <t>Banco RABOBANK INTERNACIONAL DO BRASIL S.A</t>
  </si>
  <si>
    <t>SICREDI S.A</t>
  </si>
  <si>
    <t>BNP PARIBAS BRASIL S.A</t>
  </si>
  <si>
    <t>UNICRED CENTRAL RS</t>
  </si>
  <si>
    <t>KIRTON BANK</t>
  </si>
  <si>
    <t>PORTOCRED S.A</t>
  </si>
  <si>
    <t>BANCO KEB HANA DO BRASIL S.A</t>
  </si>
  <si>
    <t>XP INVESTIMENTOS S.A</t>
  </si>
  <si>
    <t>BANCO XP S/A</t>
  </si>
  <si>
    <t>SUPER PAGAMENTOS S/A (SUPERDITAL)</t>
  </si>
  <si>
    <t>GERENCIANET PAGAMENTOS DO BRASIL</t>
  </si>
  <si>
    <t>UNIPRIME NORTE DO PARANÁ</t>
  </si>
  <si>
    <t>CM CAPITAL MARKETS CCTVM LTDA</t>
  </si>
  <si>
    <t>BANCO MORGAN STANLEY S.A</t>
  </si>
  <si>
    <t>UBS BRASIL CCTVM S.A</t>
  </si>
  <si>
    <t>TREVISO CC S.A</t>
  </si>
  <si>
    <t>HIPERCARD BM S.A</t>
  </si>
  <si>
    <t>BCO. J.SAFRA S.A</t>
  </si>
  <si>
    <t>UNIPRIME CENTRAL CCC LTDA</t>
  </si>
  <si>
    <t>BANCO ALFA S.A.</t>
  </si>
  <si>
    <t>BCO ABN AMRO S.A</t>
  </si>
  <si>
    <t>BANCO CARGILL S.A</t>
  </si>
  <si>
    <t>SERVICOOP</t>
  </si>
  <si>
    <t>BANCO BRADESCARD</t>
  </si>
  <si>
    <t>NOVA FUTURA CTVM LTDA</t>
  </si>
  <si>
    <t>GOLDMAN SACHS DO BRASIL BM S.A</t>
  </si>
  <si>
    <t>CCC NOROESTE BRASILEIRO LTDA</t>
  </si>
  <si>
    <t>CCM DESP TRÂNS SC E RS</t>
  </si>
  <si>
    <t>BANCO INBURSA</t>
  </si>
  <si>
    <t>BANCO DA AMAZONIA S.A</t>
  </si>
  <si>
    <t>CONFIDENCE CC S.A</t>
  </si>
  <si>
    <t>BANCO DO ESTADO DO PARÁ S.A</t>
  </si>
  <si>
    <t>CASA CREDITO S.A</t>
  </si>
  <si>
    <t>ALBATROSS CCV S.A</t>
  </si>
  <si>
    <t>COOP CENTRAL AILOS</t>
  </si>
  <si>
    <t>CENTRAL COOPERATIVA DE CRÉDITO NO ESTADO DO ESPÍRITO SANTO</t>
  </si>
  <si>
    <t>BANCO BBI S.A</t>
  </si>
  <si>
    <t>BANCO BRADESCO FINANCIAMENTOS S.A</t>
  </si>
  <si>
    <t>BANCO DO NORDESTE DO BRASIL S.A.</t>
  </si>
  <si>
    <t>BANCO CCB BRASIL S.A</t>
  </si>
  <si>
    <t>HS FINANCEIRA</t>
  </si>
  <si>
    <t>LECCA CFI S.A</t>
  </si>
  <si>
    <t>BANCO KDB BRASIL S.A.</t>
  </si>
  <si>
    <t>BANCO TOPÁZIO S.A</t>
  </si>
  <si>
    <t>CCR DE OURO</t>
  </si>
  <si>
    <t>PÓLOCRED SCMEPP LTDA</t>
  </si>
  <si>
    <t>CCR DE SÃO MIGUEL DO OESTE</t>
  </si>
  <si>
    <t>ICAP DO BRASIL CTVM LTDA</t>
  </si>
  <si>
    <t>SOCRED S.A</t>
  </si>
  <si>
    <t>NATIXIS BRASIL S.A</t>
  </si>
  <si>
    <t>CARUANA SCFI</t>
  </si>
  <si>
    <t>CODEPE CVC S.A</t>
  </si>
  <si>
    <t>BANCO ORIGINAL DO AGRONEGÓCIO S.A</t>
  </si>
  <si>
    <t>BBN BANCO BRASILEIRO DE NEGOCIOS S.A</t>
  </si>
  <si>
    <t>STANDARD CHARTERED BI S.A</t>
  </si>
  <si>
    <t>CRESOL CONFEDERAÇÃO</t>
  </si>
  <si>
    <t>BANCO AGIBANK S.A</t>
  </si>
  <si>
    <t>BANCO DA CHINA BRASIL S.A</t>
  </si>
  <si>
    <t>GET MONEY CC LTDA</t>
  </si>
  <si>
    <t>BCO BANDEPE S.A</t>
  </si>
  <si>
    <t>BANCO CONFIDENCE DE CÂMBIO S.A</t>
  </si>
  <si>
    <t>BANCO FINAXIS</t>
  </si>
  <si>
    <t>SENFF S.A</t>
  </si>
  <si>
    <t>MULTIMONEY CC LTDA</t>
  </si>
  <si>
    <t>BRK S.A</t>
  </si>
  <si>
    <t>BANCO BCO DO ESTADO DE SERGIPE S.A</t>
  </si>
  <si>
    <t>BEXS BANCO DE CAMBIO S.A.</t>
  </si>
  <si>
    <t>BR PARTNERS BI</t>
  </si>
  <si>
    <t>BPP INSTITUIÇÃO DE PAGAMENTOS S.A</t>
  </si>
  <si>
    <t>BRL TRUST DTVM SA</t>
  </si>
  <si>
    <t>BANCO WESTERN UNION</t>
  </si>
  <si>
    <t>PARANA BANCO S.A</t>
  </si>
  <si>
    <t>BARIGUI CH</t>
  </si>
  <si>
    <t>BANCO BOCOM BBM S.A</t>
  </si>
  <si>
    <t>BANCO CAPITAL S.A</t>
  </si>
  <si>
    <t>BANCO WOORI BANK DO BRASIL S.A</t>
  </si>
  <si>
    <t>FACTA S.A. CFI</t>
  </si>
  <si>
    <t>STONE PAGAMENTOS S.A</t>
  </si>
  <si>
    <t>BROKER BRASIL CC LTDA</t>
  </si>
  <si>
    <t>BANCO MERCANTIL DO BRASIL S.A.</t>
  </si>
  <si>
    <t>BANCO ITAÚ BBA S.A</t>
  </si>
  <si>
    <t>BANCO TRIANGULO S.A (BANCO TRIÂNGULO)</t>
  </si>
  <si>
    <t>SENSO CCVM S.A</t>
  </si>
  <si>
    <t>ICBC DO BRASIL BM S.A</t>
  </si>
  <si>
    <t>VIPS CC LTDA</t>
  </si>
  <si>
    <t>UBS BRASIL BI S.A</t>
  </si>
  <si>
    <t>MS BANK S.A BANCO DE CÂMBIO</t>
  </si>
  <si>
    <t>PARMETAL DTVM LTDA</t>
  </si>
  <si>
    <t>VORTX DTVM LTDA</t>
  </si>
  <si>
    <t>COMMERZBANK BRASIL S.A BANCO MÚLTIPLO</t>
  </si>
  <si>
    <t>AVISTA S.A</t>
  </si>
  <si>
    <t>GUITTA CC LTDA</t>
  </si>
  <si>
    <t>CCR DE PRIMAVERA DO LESTE</t>
  </si>
  <si>
    <t>DACASA FINANCEIRA S/A</t>
  </si>
  <si>
    <t>GENIAL INVESTIMENTOS CVM S.A</t>
  </si>
  <si>
    <t>IB CCTVM LTDA</t>
  </si>
  <si>
    <t>BANCO BANESTES S.A</t>
  </si>
  <si>
    <t>BANCO ABC BRASIL S.A</t>
  </si>
  <si>
    <t>SCOTIABANK BRASIL</t>
  </si>
  <si>
    <t>BANCO BTG PACTUAL S.A</t>
  </si>
  <si>
    <t>BANCO MODAL S.A</t>
  </si>
  <si>
    <t>BANCO CLASSICO S.A</t>
  </si>
  <si>
    <t>BANCO GUANABARA S.A</t>
  </si>
  <si>
    <t>BANCO INDUSTRIAL DO BRASIL S.A</t>
  </si>
  <si>
    <t>BANCO CREDIT SUISSE (BRL) S.A</t>
  </si>
  <si>
    <t>BANCO FAIR CC S.A</t>
  </si>
  <si>
    <t>BANCO LA NACION ARGENTINA</t>
  </si>
  <si>
    <t>CITIBANK N.A</t>
  </si>
  <si>
    <t>BANCO CEDULA S.A</t>
  </si>
  <si>
    <t>BANCO BRADESCO BERJ S.A</t>
  </si>
  <si>
    <t>BANCO J.P. MORGAN S.A</t>
  </si>
  <si>
    <t>BANCO CAIXA GERAL BRASIL S.A</t>
  </si>
  <si>
    <t>BANCO CITIBANK S.A</t>
  </si>
  <si>
    <t>BANCO RODOBENS S.A</t>
  </si>
  <si>
    <t>BANCO FATOR S.A</t>
  </si>
  <si>
    <t>BNDES (Banco Nacional do Desenvolvimento Social)</t>
  </si>
  <si>
    <t>ATIVA S.A INVESTIMENTOS</t>
  </si>
  <si>
    <t>BGC LIQUIDEZ DTVM LTDA</t>
  </si>
  <si>
    <t>BANCO ALVORADA S.A</t>
  </si>
  <si>
    <t>BANCO ITAÚ CONSIGNADO S.A</t>
  </si>
  <si>
    <t>BANCO MÁXIMA S.A</t>
  </si>
  <si>
    <t>HAITONG BI DO BRASIL S.A</t>
  </si>
  <si>
    <t>BANCO OLIVEIRA TRUST DTVM S.A</t>
  </si>
  <si>
    <t>BNY MELLON BANCO S.A</t>
  </si>
  <si>
    <t>PERNAMBUCANAS FINANC S.A</t>
  </si>
  <si>
    <t>LA PROVINCIA BUENOS AIRES BANCO</t>
  </si>
  <si>
    <t>BRASIL PLURAL S.A BANCO</t>
  </si>
  <si>
    <t>JPMORGAN CHASE BANK</t>
  </si>
  <si>
    <t>BANCO ANDBANK S.A</t>
  </si>
  <si>
    <t>ING BANK N.V</t>
  </si>
  <si>
    <t>BANCO BCV</t>
  </si>
  <si>
    <t>LEVYCAM CCV LTDA</t>
  </si>
  <si>
    <t>BANCO REP ORIENTAL URUGUAY</t>
  </si>
  <si>
    <t>BEXS CC S.A</t>
  </si>
  <si>
    <t>HSBC BANCO DE INVESTIMENTO</t>
  </si>
  <si>
    <t>BCO ARBI S.A</t>
  </si>
  <si>
    <t>INTESA SANPAOLO BRASIL S.A</t>
  </si>
  <si>
    <t>BANCO TRICURY S.A</t>
  </si>
  <si>
    <t>BANCO INTERCAP S.A</t>
  </si>
  <si>
    <t>BANCO FIBRA S.A</t>
  </si>
  <si>
    <t>BANCO LUSO BRASILEIRO S.A</t>
  </si>
  <si>
    <t>BANCO PAN</t>
  </si>
  <si>
    <t>BANCO BRADESCO CARTOES S.A</t>
  </si>
  <si>
    <t>BANCO ITAUBANK S.A</t>
  </si>
  <si>
    <t>BANCO MUFG BRASIL S.A</t>
  </si>
  <si>
    <t>BANCO SUMITOMO MITSUI BRASIL S.A</t>
  </si>
  <si>
    <t>OMNI BANCO S.A</t>
  </si>
  <si>
    <t>ITAÚ UNIBANCO HOLDING BM S.A</t>
  </si>
  <si>
    <t>BANCO INDUSVAL S.A</t>
  </si>
  <si>
    <t>BANCO CREFISA S.A</t>
  </si>
  <si>
    <t>BANCO MIZUHO S.A</t>
  </si>
  <si>
    <t>BANCO INVESTCRED UNIBANCO S.A</t>
  </si>
  <si>
    <t>BANCO BMG S.A</t>
  </si>
  <si>
    <t>BANCO FICSA S.A</t>
  </si>
  <si>
    <t>SAGITUR CC LTDA</t>
  </si>
  <si>
    <t>BANCO SOCIETE GENERALE BRASIL</t>
  </si>
  <si>
    <t>MAGLIANO S.A</t>
  </si>
  <si>
    <t>TULLETT PREBON BRASIL CVC LTDA</t>
  </si>
  <si>
    <t>C.SUISSE HEDGING-GRIFFO CV S.A (Credit Suisse)</t>
  </si>
  <si>
    <t>BANCO PAULISTA</t>
  </si>
  <si>
    <t>BOFA MERRILL LYNCH BM S.A</t>
  </si>
  <si>
    <t>CCR REG MOGIANA</t>
  </si>
  <si>
    <t>BANCO PINE S.A</t>
  </si>
  <si>
    <t>EASYNVEST - TÍTULO CV S.A</t>
  </si>
  <si>
    <t>BANCO DAYCOVAL S.A</t>
  </si>
  <si>
    <t>CAROL DTVM LTDA</t>
  </si>
  <si>
    <t>RENASCENCA DTVM LTDA</t>
  </si>
  <si>
    <t>DEUTSCHE BANK S.A BANCO ALEMÃO</t>
  </si>
  <si>
    <t>BANCO CIFRA</t>
  </si>
  <si>
    <t>GUIDE</t>
  </si>
  <si>
    <t>BANCO RENDIMENTO S.A</t>
  </si>
  <si>
    <t>BANCO BS2 S.A</t>
  </si>
  <si>
    <t>BS2 DISTRIBUIDORA DE TÍTULOS E INVESTIMENTOS</t>
  </si>
  <si>
    <t>BANCO OLÉ BONSUCESSO CONSIGNADO S.A</t>
  </si>
  <si>
    <t>LASTRO RDV DTVM LTDA</t>
  </si>
  <si>
    <t>FRENTE CC LTDA</t>
  </si>
  <si>
    <t>B&amp;T CC LTDA</t>
  </si>
  <si>
    <t>NOVO BANCO CONTINENTAL S.A BM</t>
  </si>
  <si>
    <t>BANCO CRÉDIT AGRICOLE BR S.A</t>
  </si>
  <si>
    <t>BANCO SISTEMA</t>
  </si>
  <si>
    <t>CREDIALIANÇA CCR</t>
  </si>
  <si>
    <t>BANCO VR S.A</t>
  </si>
  <si>
    <t>BANCO OURINVEST S.A</t>
  </si>
  <si>
    <t>CREDICOAMO</t>
  </si>
  <si>
    <t>RB CAPITAL INVESTIMENTOS DTVM LTDA</t>
  </si>
  <si>
    <t>BANCO JOHN DEERE S.A</t>
  </si>
  <si>
    <t>ADVANCED CC LTDA</t>
  </si>
  <si>
    <t>BANCO C6 S.A - C6 BANK</t>
  </si>
  <si>
    <t>BANCO DIGIMAIS S.A</t>
  </si>
  <si>
    <t>Tamanho Correto</t>
  </si>
  <si>
    <t>Texto Correto</t>
  </si>
  <si>
    <t>Tipo de Dado</t>
  </si>
  <si>
    <t>X</t>
  </si>
  <si>
    <t xml:space="preserve">  Listas das Validações de Daddos</t>
  </si>
  <si>
    <t>Empresa</t>
  </si>
  <si>
    <t>Bancos</t>
  </si>
  <si>
    <t>Código</t>
  </si>
  <si>
    <t>Banco</t>
  </si>
  <si>
    <t>Código ISPB</t>
  </si>
  <si>
    <t xml:space="preserve">  Cabeçalho do Arquivio</t>
  </si>
  <si>
    <t>Nome Abreviado</t>
  </si>
  <si>
    <t>Agência</t>
  </si>
  <si>
    <t>Conta</t>
  </si>
  <si>
    <t xml:space="preserve">  Cabeçalho do Lote</t>
  </si>
  <si>
    <t>Lote</t>
  </si>
  <si>
    <t>Tipo de Pagamento</t>
  </si>
  <si>
    <t>Cód</t>
  </si>
  <si>
    <t>Forma de Pagamento</t>
  </si>
  <si>
    <t>02</t>
  </si>
  <si>
    <t>03</t>
  </si>
  <si>
    <t>05</t>
  </si>
  <si>
    <t>06</t>
  </si>
  <si>
    <t>07</t>
  </si>
  <si>
    <t>AGÊNCIA</t>
  </si>
  <si>
    <t>ITAÚ</t>
  </si>
  <si>
    <t>CPF</t>
  </si>
  <si>
    <t>Dígito Agência</t>
  </si>
  <si>
    <t>Dígito Conta</t>
  </si>
  <si>
    <t>Cód Lote</t>
  </si>
  <si>
    <t>Seu N°</t>
  </si>
  <si>
    <t>Total Lote</t>
  </si>
  <si>
    <t>Qtd Registros</t>
  </si>
  <si>
    <t>Qtd Registros Acumulado</t>
  </si>
  <si>
    <t>N° Lote</t>
  </si>
  <si>
    <t xml:space="preserve">  Arquivo Final</t>
  </si>
  <si>
    <t>0</t>
  </si>
  <si>
    <t>9</t>
  </si>
  <si>
    <t>5</t>
  </si>
  <si>
    <t>2567</t>
  </si>
  <si>
    <t>09247486807</t>
  </si>
  <si>
    <t>01498</t>
  </si>
  <si>
    <t>Tipo</t>
  </si>
  <si>
    <t>Forma</t>
  </si>
  <si>
    <t>RA</t>
  </si>
  <si>
    <t>9(03)</t>
  </si>
  <si>
    <t>X(30)</t>
  </si>
  <si>
    <t>9(08)</t>
  </si>
  <si>
    <t>CODIGO DO BANCO</t>
  </si>
  <si>
    <t>CODIGO DO BCO NA COMPENSAÇÃO</t>
  </si>
  <si>
    <t>CÓDIGO DO LOTE</t>
  </si>
  <si>
    <t>LOTE DE SERVIÇO</t>
  </si>
  <si>
    <t>9(04)</t>
  </si>
  <si>
    <t>0000</t>
  </si>
  <si>
    <t>TIPO DE REGISTRO</t>
  </si>
  <si>
    <t>REGISTRO HEADER DE ARQUIVO</t>
  </si>
  <si>
    <t>9(01)</t>
  </si>
  <si>
    <t>BRANCOS</t>
  </si>
  <si>
    <t>COMPLEMENTO DE REGISTRO</t>
  </si>
  <si>
    <t>X(06)</t>
  </si>
  <si>
    <t>LAYOUT DE ARQUIVO</t>
  </si>
  <si>
    <t>N° DA VERSÃO DO LAYOUT DO ARQUIVO</t>
  </si>
  <si>
    <t>EMPRESA-INSCRIÇÃO</t>
  </si>
  <si>
    <t>TIPO DE INSCRIÇÃO DA EMPRESA</t>
  </si>
  <si>
    <t>1 = CPF 2= CNPJ</t>
  </si>
  <si>
    <t>INSCRIÇÃO NÚMERO</t>
  </si>
  <si>
    <t>CNPJ EMPRESA DEBITADA</t>
  </si>
  <si>
    <t>9(14)</t>
  </si>
  <si>
    <t>NOTA 1</t>
  </si>
  <si>
    <t>X(20)</t>
  </si>
  <si>
    <t>NÚMERO AGÊNCIA DEBITADA</t>
  </si>
  <si>
    <t>9(05)</t>
  </si>
  <si>
    <t>X(01)</t>
  </si>
  <si>
    <t>NÚMERO DE C/C DEBITADA</t>
  </si>
  <si>
    <t>9(12)</t>
  </si>
  <si>
    <t>DAC DA AGÊNCIA/CONTA DEBITADA</t>
  </si>
  <si>
    <t>X(10)</t>
  </si>
  <si>
    <t>ARQUIVO-CÓDIGO</t>
  </si>
  <si>
    <t>CÓDIGO REMESSA/RETORNO</t>
  </si>
  <si>
    <t>1=REMESSA 2=RETORNO</t>
  </si>
  <si>
    <t>9(06)</t>
  </si>
  <si>
    <t>9(09)</t>
  </si>
  <si>
    <t>UNIDADE DE DENSIDADE</t>
  </si>
  <si>
    <t>DENSIDADE DE GRAVAÇÃO DO ARQUIVO</t>
  </si>
  <si>
    <t>NOTA 2</t>
  </si>
  <si>
    <t>X(69)</t>
  </si>
  <si>
    <t xml:space="preserve"> HORA DE GERAÇÃO DO ARQUIVO</t>
  </si>
  <si>
    <t>HORA DA GERAÇÃO</t>
  </si>
  <si>
    <t>DATA DE GERAÇÃO DO ARQUIVO</t>
  </si>
  <si>
    <t>Nome do Campo</t>
  </si>
  <si>
    <t>Significado</t>
  </si>
  <si>
    <t>P_0</t>
  </si>
  <si>
    <t>P_1</t>
  </si>
  <si>
    <t>Picture</t>
  </si>
  <si>
    <t>CODIGO BANCO NA COMPENSAÇÃO</t>
  </si>
  <si>
    <t>NOTA 3</t>
  </si>
  <si>
    <t>REGISTRO DETALHE DE LOTE</t>
  </si>
  <si>
    <t>NÚMERO DO REGISTRO</t>
  </si>
  <si>
    <t>N° SEQUENCIAL REGISTRO NO LOTE</t>
  </si>
  <si>
    <t>NOTA 9</t>
  </si>
  <si>
    <t>SEGMENTO</t>
  </si>
  <si>
    <t>CÓDIGO SEGMENTO REG. DETALHE</t>
  </si>
  <si>
    <t>TIPO DE MOVIMENTO</t>
  </si>
  <si>
    <t>NOTA 10</t>
  </si>
  <si>
    <t>CÂMARA</t>
  </si>
  <si>
    <t>CÓDIGO DA CÂMARA CENTRALIZADORA</t>
  </si>
  <si>
    <t>NOTA 35</t>
  </si>
  <si>
    <t>CÓDIGO BANCO FAVORECIDO</t>
  </si>
  <si>
    <t>AGÊNCIA CONTA</t>
  </si>
  <si>
    <t>AGÊNCIA CONTA FAVORECIDO</t>
  </si>
  <si>
    <t>NOTA 11</t>
  </si>
  <si>
    <t>NOTA 34</t>
  </si>
  <si>
    <t>SEU NÚMERO</t>
  </si>
  <si>
    <t>N° DOCTO ATRIBUÍDO PELA EMPRESA</t>
  </si>
  <si>
    <t>DATA DE PAGTO</t>
  </si>
  <si>
    <t>DATA PREVISTA PARA PAGTO</t>
  </si>
  <si>
    <t>MOEDA-TIPO</t>
  </si>
  <si>
    <t>TIPO DA MOEDA</t>
  </si>
  <si>
    <t>X(03)</t>
  </si>
  <si>
    <t>REA OU 009</t>
  </si>
  <si>
    <t>CÓDIGO ISPB</t>
  </si>
  <si>
    <t>IDENTIFICAÇÃO DA INSTITUIÇÃO PARA 0 SPB</t>
  </si>
  <si>
    <t>X(08)</t>
  </si>
  <si>
    <t>9(07)</t>
  </si>
  <si>
    <t>VALOR DO PAGTO</t>
  </si>
  <si>
    <t>VALOR PREVISTO DO PAGTO</t>
  </si>
  <si>
    <t>NOSSO NÚMERO</t>
  </si>
  <si>
    <t>N° DOCTO ATRIBUÍDO PELO BANCO</t>
  </si>
  <si>
    <t>X(15)</t>
  </si>
  <si>
    <t>NOTA 12</t>
  </si>
  <si>
    <t>X(05)</t>
  </si>
  <si>
    <t>DATA EFETIVA</t>
  </si>
  <si>
    <t>DATA REAL EFETIVAÇÃO DO PAGTO</t>
  </si>
  <si>
    <t>VALOR REAL EFETIVAÇÃO DO PAGTO</t>
  </si>
  <si>
    <t>FINALIDADE DETALHE</t>
  </si>
  <si>
    <t>INFORMAÇÃO COMPLEMENTAR PI HIST. DE C/C</t>
  </si>
  <si>
    <t>NOTA 13</t>
  </si>
  <si>
    <t>N° DO DOC/TED/ OP/ CHEQUE NO RETORNO</t>
  </si>
  <si>
    <t>9(6)</t>
  </si>
  <si>
    <t>NOTA 14</t>
  </si>
  <si>
    <t>N° DE INSCRIÇÃO</t>
  </si>
  <si>
    <t>N° DE INSCRIÇÃO DO FAVORECIDO (CPF/CNPJ)</t>
  </si>
  <si>
    <t>NOTA 15</t>
  </si>
  <si>
    <t>Finalidade DOC e status funcionário</t>
  </si>
  <si>
    <t>Finalidade DOC e status funcionário na empresa</t>
  </si>
  <si>
    <t>X(02)</t>
  </si>
  <si>
    <t>NOTA 30</t>
  </si>
  <si>
    <t>FINALIDADE DA TED</t>
  </si>
  <si>
    <t>NOTA 26</t>
  </si>
  <si>
    <t>AVISO AO FAVORECIDO</t>
  </si>
  <si>
    <t>NOTA 16</t>
  </si>
  <si>
    <t>OCORRÊNCIAS</t>
  </si>
  <si>
    <t>CÓDIGO OCORRÊNCIAS NO RETORNO</t>
  </si>
  <si>
    <t>NOTA 8</t>
  </si>
  <si>
    <t>9999</t>
  </si>
  <si>
    <t>REGISTRO TRAILER DE ARQUIVO</t>
  </si>
  <si>
    <t>X(09)</t>
  </si>
  <si>
    <t>TOTAL QTDE DE LOTES</t>
  </si>
  <si>
    <t>QTDE LOTES DO ARQUIVO</t>
  </si>
  <si>
    <t>NOTA 17</t>
  </si>
  <si>
    <t>TOTAL QTDE REGISTROS</t>
  </si>
  <si>
    <t>QTDE REGISTROS DO ARQUIVO</t>
  </si>
  <si>
    <t>X(211)</t>
  </si>
  <si>
    <t>CA</t>
  </si>
  <si>
    <t>DL</t>
  </si>
  <si>
    <t>RL</t>
  </si>
  <si>
    <t>REGISTRO TRAI LER DE LOTE</t>
  </si>
  <si>
    <t>QTDE REGISTROS DO LOTE</t>
  </si>
  <si>
    <t>CÓDIGOS OCORRÊNCIAS PI RETORNO</t>
  </si>
  <si>
    <t>CL</t>
  </si>
  <si>
    <t>LOTE IDENTIFICAÇÃO DE PAGTOS</t>
  </si>
  <si>
    <t>REGISTRO HEADER DE LOTE</t>
  </si>
  <si>
    <t>TIPO DE OPERAÇÃO</t>
  </si>
  <si>
    <t>TIPO DA OPERAÇÃO</t>
  </si>
  <si>
    <t>C=CRÉDITO</t>
  </si>
  <si>
    <t>TIPO DE PAGAMENTO</t>
  </si>
  <si>
    <t>TIPO DE PAGTO</t>
  </si>
  <si>
    <t>9(02)</t>
  </si>
  <si>
    <t>NOTA 4</t>
  </si>
  <si>
    <t>FORMA DE PAGAMENTO</t>
  </si>
  <si>
    <t>NOTA 5</t>
  </si>
  <si>
    <t>LAYOUT DO LOTE</t>
  </si>
  <si>
    <t>N° DA VERSÃO DO LAYOUT DO LOTE</t>
  </si>
  <si>
    <t>TIPO INSCRIÇÃO EMPRESA DEBITADA</t>
  </si>
  <si>
    <t>1    = CPF 2    = CNPJ</t>
  </si>
  <si>
    <t>Identificação do Lançamento</t>
  </si>
  <si>
    <t>Identificação do Lançamento no Extrato do Favorecido</t>
  </si>
  <si>
    <t>X(04)</t>
  </si>
  <si>
    <t>X(16)</t>
  </si>
  <si>
    <t>NOME DA EMPRESA DEBITADA</t>
  </si>
  <si>
    <t>FINALIDADE DO LOTE</t>
  </si>
  <si>
    <t>FINALIDADE DOS PAGTOS DO LOTE</t>
  </si>
  <si>
    <t>NOTA 6</t>
  </si>
  <si>
    <t>HISTÓRICO DE C/C</t>
  </si>
  <si>
    <t>COMPLEMENTO HISTÓRICO C/C DEBITADA</t>
  </si>
  <si>
    <t>NOTA 7</t>
  </si>
  <si>
    <t>ENDEREÇO DA EMPRESA</t>
  </si>
  <si>
    <t>NOME DA RUA, AV, PÇA, ETC...</t>
  </si>
  <si>
    <t>NÚMERO</t>
  </si>
  <si>
    <t>NÚMERO DO LOCAL</t>
  </si>
  <si>
    <t>COMPLEMENTO.</t>
  </si>
  <si>
    <t>CASA, APTO, SALA, ETC...</t>
  </si>
  <si>
    <t>CIDADE</t>
  </si>
  <si>
    <t>NOME DA CIDADE</t>
  </si>
  <si>
    <t>CEP</t>
  </si>
  <si>
    <t>ESTADO</t>
  </si>
  <si>
    <t>SIGLA DO ESTADO</t>
  </si>
  <si>
    <t>CÓDIGO OCORRÊNCIAS P/RETORNO</t>
  </si>
  <si>
    <t>TOTAL VALOR PAGTOS</t>
  </si>
  <si>
    <t>SOMA VALOR DOS PGTOS DO LOTE</t>
  </si>
  <si>
    <t>9(16)V9(2)</t>
  </si>
  <si>
    <t>9(18)</t>
  </si>
  <si>
    <t>X(171)</t>
  </si>
  <si>
    <t>AGENCIA</t>
  </si>
  <si>
    <t>Conteúdo real</t>
  </si>
  <si>
    <t>4*0</t>
  </si>
  <si>
    <t>18*0</t>
  </si>
  <si>
    <t>1*0</t>
  </si>
  <si>
    <t>8*0</t>
  </si>
  <si>
    <t>3*0</t>
  </si>
  <si>
    <t>DAC CONTA</t>
  </si>
  <si>
    <t>RAZÃO S.</t>
  </si>
  <si>
    <t>DATA</t>
  </si>
  <si>
    <t>HORA</t>
  </si>
  <si>
    <t>9*B</t>
  </si>
  <si>
    <t>16*0</t>
  </si>
  <si>
    <t>SP</t>
  </si>
  <si>
    <t>Sequencial</t>
  </si>
  <si>
    <t>Banco fav1</t>
  </si>
  <si>
    <t>AGÊNCIA/CONTA</t>
  </si>
  <si>
    <t>Nome fav</t>
  </si>
  <si>
    <t>Data prev</t>
  </si>
  <si>
    <t>Valor prev</t>
  </si>
  <si>
    <t>Data ef</t>
  </si>
  <si>
    <t>Valor ef</t>
  </si>
  <si>
    <t>CPF Fav</t>
  </si>
  <si>
    <t>171*B</t>
  </si>
  <si>
    <t>211*B</t>
  </si>
  <si>
    <t>Qtd Total</t>
  </si>
  <si>
    <t>Valor Total</t>
  </si>
  <si>
    <t>Qtd Lotes</t>
  </si>
  <si>
    <t xml:space="preserve">  Detalhamento do Lote TED</t>
  </si>
  <si>
    <t xml:space="preserve">  Detalhamento do Lote ITAÚ (341)</t>
  </si>
  <si>
    <t>000080</t>
  </si>
  <si>
    <t>000000000031601736</t>
  </si>
  <si>
    <t xml:space="preserve">  Campos do Aqruivo</t>
  </si>
  <si>
    <t>Cabeçalho Arquivo</t>
  </si>
  <si>
    <t>Cabeçalho Lote</t>
  </si>
  <si>
    <t>Detalhe Lote</t>
  </si>
  <si>
    <t>Rodapé Lote</t>
  </si>
  <si>
    <t>Rodapé Arquivo</t>
  </si>
  <si>
    <t>10000000000001</t>
  </si>
  <si>
    <t>20000000000002</t>
  </si>
  <si>
    <t>30000000000003</t>
  </si>
  <si>
    <t>Empresa 1 - Empresa 1 - LTDA</t>
  </si>
  <si>
    <t>Empresa 2 - Empresa 2 - LTDA</t>
  </si>
  <si>
    <t>Empresa 3 - Empresa 3 - LTDA</t>
  </si>
  <si>
    <t>Empresa 1  LTDA</t>
  </si>
  <si>
    <t>Empresa 2 LTDA</t>
  </si>
  <si>
    <t>Empresa 3 LTDA</t>
  </si>
  <si>
    <t>0002</t>
  </si>
  <si>
    <t>0003</t>
  </si>
  <si>
    <t>Nadia Mora Livia</t>
  </si>
  <si>
    <t>9324</t>
  </si>
  <si>
    <t>32658</t>
  </si>
  <si>
    <t>9347</t>
  </si>
  <si>
    <t>1698</t>
  </si>
  <si>
    <t>2864</t>
  </si>
  <si>
    <t>1946</t>
  </si>
  <si>
    <t>8276</t>
  </si>
  <si>
    <t>82645</t>
  </si>
  <si>
    <t>14697</t>
  </si>
  <si>
    <t>23568</t>
  </si>
  <si>
    <t>41529</t>
  </si>
  <si>
    <t>78256</t>
  </si>
  <si>
    <t>32469</t>
  </si>
  <si>
    <t>Aaron</t>
  </si>
  <si>
    <t>Abelardo</t>
  </si>
  <si>
    <t>Abigail</t>
  </si>
  <si>
    <t>Abner</t>
  </si>
  <si>
    <t>Adalberto</t>
  </si>
  <si>
    <t>Adalgisa</t>
  </si>
  <si>
    <t>Adam</t>
  </si>
  <si>
    <t>85694561564</t>
  </si>
  <si>
    <t>54654654621</t>
  </si>
  <si>
    <t>15644655664</t>
  </si>
  <si>
    <t>56456465464</t>
  </si>
  <si>
    <t>45678956123</t>
  </si>
  <si>
    <t>87893202135</t>
  </si>
  <si>
    <t>69681546835</t>
  </si>
  <si>
    <t>Nadia Mora Livia 2</t>
  </si>
  <si>
    <t>Aaron 2</t>
  </si>
  <si>
    <t>Abelardo 2</t>
  </si>
  <si>
    <t>Abigail 2</t>
  </si>
  <si>
    <t>Empresas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</si>
</sst>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&quot;R$&quot;\ #,##0.00"/>
  </numFmts>
  <fonts count="10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quotePrefix="1"/>
    <xf numFmtId="0" fontId="0" fillId="2" borderId="0" xfId="0" applyFill="1"/>
    <xf numFmtId="0" fontId="1" fillId="0" borderId="0" xfId="0" applyFont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 applyAlignment="1">
      <alignment vertical="center"/>
    </xf>
    <xf numFmtId="0" fontId="6" fillId="2" borderId="0" xfId="0" applyFont="1" applyFill="1" applyAlignment="1">
      <alignment horizontal="center"/>
    </xf>
    <xf numFmtId="0" fontId="6" fillId="2" borderId="0" xfId="0" applyFont="1" applyFill="1" applyAlignment="1"/>
    <xf numFmtId="0" fontId="0" fillId="0" borderId="1" xfId="0" applyBorder="1"/>
    <xf numFmtId="0" fontId="0" fillId="0" borderId="1" xfId="0" applyFill="1" applyBorder="1"/>
    <xf numFmtId="0" fontId="0" fillId="3" borderId="1" xfId="0" applyFill="1" applyBorder="1"/>
    <xf numFmtId="49" fontId="0" fillId="3" borderId="1" xfId="0" applyNumberFormat="1" applyFill="1" applyBorder="1"/>
    <xf numFmtId="0" fontId="0" fillId="3" borderId="1" xfId="0" applyFill="1" applyBorder="1" applyAlignment="1">
      <alignment horizontal="right"/>
    </xf>
    <xf numFmtId="0" fontId="0" fillId="3" borderId="1" xfId="0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 applyProtection="1">
      <alignment horizontal="left"/>
      <protection locked="0"/>
    </xf>
    <xf numFmtId="14" fontId="0" fillId="0" borderId="0" xfId="0" applyNumberFormat="1"/>
    <xf numFmtId="0" fontId="6" fillId="2" borderId="1" xfId="0" applyFont="1" applyFill="1" applyBorder="1" applyAlignment="1"/>
    <xf numFmtId="0" fontId="0" fillId="0" borderId="1" xfId="0" quotePrefix="1" applyBorder="1"/>
    <xf numFmtId="0" fontId="0" fillId="0" borderId="0" xfId="0" applyNumberFormat="1"/>
    <xf numFmtId="164" fontId="0" fillId="0" borderId="1" xfId="0" applyNumberFormat="1" applyBorder="1" applyAlignment="1" applyProtection="1">
      <alignment horizontal="left"/>
      <protection locked="0"/>
    </xf>
    <xf numFmtId="0" fontId="0" fillId="4" borderId="0" xfId="0" applyFill="1"/>
    <xf numFmtId="0" fontId="0" fillId="0" borderId="0" xfId="0" applyBorder="1"/>
    <xf numFmtId="165" fontId="0" fillId="0" borderId="0" xfId="0" applyNumberFormat="1"/>
    <xf numFmtId="1" fontId="0" fillId="0" borderId="0" xfId="0" quotePrefix="1" applyNumberFormat="1"/>
    <xf numFmtId="0" fontId="2" fillId="0" borderId="1" xfId="0" applyFont="1" applyBorder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0" fillId="0" borderId="5" xfId="0" applyBorder="1"/>
    <xf numFmtId="0" fontId="0" fillId="0" borderId="6" xfId="0" applyBorder="1"/>
    <xf numFmtId="0" fontId="0" fillId="0" borderId="5" xfId="0" quotePrefix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4" xfId="0" applyBorder="1"/>
    <xf numFmtId="0" fontId="0" fillId="0" borderId="13" xfId="0" applyBorder="1"/>
    <xf numFmtId="0" fontId="0" fillId="0" borderId="2" xfId="0" applyBorder="1"/>
    <xf numFmtId="0" fontId="0" fillId="0" borderId="6" xfId="0" quotePrefix="1" applyBorder="1" applyAlignment="1">
      <alignment horizontal="right"/>
    </xf>
    <xf numFmtId="0" fontId="7" fillId="4" borderId="0" xfId="0" applyFont="1" applyFill="1"/>
    <xf numFmtId="0" fontId="8" fillId="5" borderId="0" xfId="0" applyFont="1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</cellXfs>
  <cellStyles count="1">
    <cellStyle name="Normal" xfId="0" builtinId="0"/>
  </cellStyles>
  <dxfs count="29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514350</xdr:colOff>
      <xdr:row>11</xdr:row>
      <xdr:rowOff>47625</xdr:rowOff>
    </xdr:from>
    <xdr:to>
      <xdr:col>2</xdr:col>
      <xdr:colOff>3143250</xdr:colOff>
      <xdr:row>14</xdr:row>
      <xdr:rowOff>19050</xdr:rowOff>
    </xdr:to>
    <xdr:sp macro="[0]!geraArquivoDefinido" textlink="">
      <xdr:nvSpPr>
        <xdr:cNvPr id="4" name="Retângulo: Cantos Diagonais Arredondados 3">
          <a:extLst>
            <a:ext uri="{FF2B5EF4-FFF2-40B4-BE49-F238E27FC236}">
              <a16:creationId xmlns:a16="http://schemas.microsoft.com/office/drawing/2014/main" id="{5278A6BC-1D02-458E-8CCC-BF00835EBFE3}"/>
            </a:ext>
          </a:extLst>
        </xdr:cNvPr>
        <xdr:cNvSpPr/>
      </xdr:nvSpPr>
      <xdr:spPr>
        <a:xfrm>
          <a:off x="1123950" y="2438400"/>
          <a:ext cx="4010025" cy="542925"/>
        </a:xfrm>
        <a:prstGeom prst="round2Diag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200" b="1"/>
            <a:t>Gerar</a:t>
          </a:r>
          <a:r>
            <a:rPr lang="pt-BR" sz="2200" b="1" baseline="0"/>
            <a:t> Arquivo com Dois Lotes</a:t>
          </a:r>
          <a:endParaRPr lang="pt-BR" sz="2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25</xdr:row>
      <xdr:rowOff>95250</xdr:rowOff>
    </xdr:from>
    <xdr:to>
      <xdr:col>5</xdr:col>
      <xdr:colOff>296192</xdr:colOff>
      <xdr:row>49</xdr:row>
      <xdr:rowOff>38730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433F770-B798-4299-85FF-5F88011A3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0" y="5162550"/>
          <a:ext cx="6573167" cy="4515480"/>
        </a:xfrm>
        <a:prstGeom prst="rect">
          <a:avLst/>
        </a:prstGeom>
      </xdr:spPr>
    </xdr:pic>
    <xdr:clientData/>
  </xdr:twoCellAnchor>
  <xdr:twoCellAnchor editAs="oneCell">
    <xdr:from>
      <xdr:col>2</xdr:col>
      <xdr:colOff>38105</xdr:colOff>
      <xdr:row>13</xdr:row>
      <xdr:rowOff>57150</xdr:rowOff>
    </xdr:from>
    <xdr:to>
      <xdr:col>5</xdr:col>
      <xdr:colOff>258087</xdr:colOff>
      <xdr:row>24</xdr:row>
      <xdr:rowOff>9811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7CF71D0-F949-4C47-8D57-1EB890F92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7355" y="2838450"/>
          <a:ext cx="6496957" cy="204816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0C3C5-05F3-4F2C-940B-CA3DFB1384B6}" name="Empresas" displayName="Empresas" ref="B4:G7" totalsRowShown="0" headerRowDxfId="28" headerRowBorderDxfId="27" tableBorderDxfId="26" totalsRowBorderDxfId="25">
  <autoFilter ref="B4:G7" xr:uid="{83EF64FD-21F9-4A80-B63B-E51911925721}"/>
  <tableColumns count="6">
    <tableColumn id="1" xr3:uid="{76E390D9-8BA1-44F8-9176-C5CC9735E7F6}" name="CNPJ" dataDxfId="24"/>
    <tableColumn id="2" xr3:uid="{E9D3DCF4-B767-42F5-8106-A95F2533BDB4}" name="Empresa" dataDxfId="23"/>
    <tableColumn id="3" xr3:uid="{CE511BD9-92B2-449B-A735-E317CD2A66A9}" name="Nome Abreviado" dataDxfId="22"/>
    <tableColumn id="4" xr3:uid="{3E64E9F9-F995-4137-A4AC-7BBD28B7A134}" name="Agência" dataDxfId="21"/>
    <tableColumn id="5" xr3:uid="{3E1658BB-6E53-4446-9ECD-63A62D1CAA3D}" name="Conta" dataDxfId="20"/>
    <tableColumn id="6" xr3:uid="{515596A4-DED7-4BFA-95BF-F7A95B042363}" name="DAC" dataDxfId="1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23B5A1-8F74-47BF-9B3D-7667DDF94B19}" name="Bancos" displayName="Bancos" ref="I4:K220" totalsRowShown="0" headerRowDxfId="18" headerRowBorderDxfId="17" tableBorderDxfId="16" totalsRowBorderDxfId="15">
  <autoFilter ref="I4:K220" xr:uid="{FD4C163C-BEF3-4432-B9EF-D1D4A308C55E}"/>
  <tableColumns count="3">
    <tableColumn id="1" xr3:uid="{1A509427-6057-46E2-989F-5CED49FB2E83}" name="Código" dataDxfId="14"/>
    <tableColumn id="2" xr3:uid="{F48A18EA-BA59-4373-B09A-2BB4761E5ED6}" name="Banco" dataDxfId="13"/>
    <tableColumn id="3" xr3:uid="{5EDFFF23-8562-4139-95DB-86826D7B9BF8}" name="Código ISPB" dataDxfId="1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23B061-4187-49B5-B739-7968AE72C6A7}" name="Tipo_Pgmt" displayName="Tipo_Pgmt" ref="M4:N15" totalsRowShown="0" headerRowDxfId="11" headerRowBorderDxfId="10" tableBorderDxfId="9" totalsRowBorderDxfId="8">
  <autoFilter ref="M4:N15" xr:uid="{90AF3FFF-60C4-48D1-BFB7-3C67147F163F}"/>
  <tableColumns count="2">
    <tableColumn id="1" xr3:uid="{F88365BB-9180-4964-AA7E-DF2F1749EEAD}" name="Tipo de Pagamento" dataDxfId="7"/>
    <tableColumn id="2" xr3:uid="{4C125523-42FD-42D3-8D77-26677A8575F4}" name="Cód" dataDxfId="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C52D7A-1099-4C81-9C89-50F4ADFA35B4}" name="Forma_Pgmt" displayName="Forma_Pgmt" ref="P4:Q27" totalsRowShown="0" headerRowDxfId="5" headerRowBorderDxfId="4" tableBorderDxfId="3" totalsRowBorderDxfId="2">
  <autoFilter ref="P4:Q27" xr:uid="{6AE738BF-ADE7-49FD-ACA6-5EF8ABBDEAA7}"/>
  <tableColumns count="2">
    <tableColumn id="1" xr3:uid="{2F60C96D-C931-4912-8FA6-1869954776D3}" name="Forma de Pagamento" dataDxfId="1"/>
    <tableColumn id="2" xr3:uid="{09A7FE05-6BFF-4689-AF31-28C162BC67F4}" name="Cód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9120C-58FE-4E3B-BD82-35BD90B056BC}">
  <sheetPr codeName="Planilha1"/>
  <dimension ref="A1"/>
  <sheetViews>
    <sheetView zoomScaleNormal="10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C8817-0C7E-45BC-83C3-252EC00278FA}">
  <sheetPr codeName="Planilha2"/>
  <dimension ref="A1:Z10"/>
  <sheetViews>
    <sheetView showGridLines="0" tabSelected="1" workbookViewId="0">
      <selection activeCell="A3" sqref="A3"/>
    </sheetView>
  </sheetViews>
  <sheetFormatPr defaultRowHeight="15" x14ac:dyDescent="0.25"/>
  <cols>
    <col min="2" max="2" width="20.7109375" bestFit="1" customWidth="1"/>
    <col min="3" max="3" width="57.140625" customWidth="1"/>
    <col min="4" max="4" width="18.42578125" hidden="1" customWidth="1"/>
    <col min="5" max="5" width="14.140625" hidden="1" customWidth="1"/>
    <col min="6" max="6" width="34.7109375" hidden="1" customWidth="1"/>
  </cols>
  <sheetData>
    <row r="1" spans="1:26" ht="37.5" customHeight="1" x14ac:dyDescent="0.25">
      <c r="A1" s="6" t="s">
        <v>312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3" spans="1:26" ht="15.75" x14ac:dyDescent="0.25">
      <c r="B3" s="47" t="s">
        <v>84</v>
      </c>
      <c r="C3" s="47"/>
      <c r="D3" s="8" t="s">
        <v>302</v>
      </c>
      <c r="E3" s="8" t="s">
        <v>304</v>
      </c>
      <c r="F3" s="8" t="s">
        <v>303</v>
      </c>
    </row>
    <row r="4" spans="1:26" x14ac:dyDescent="0.25">
      <c r="B4" s="10" t="s">
        <v>4</v>
      </c>
      <c r="C4" s="16" t="s">
        <v>553</v>
      </c>
      <c r="D4" s="11">
        <v>14</v>
      </c>
      <c r="E4" s="12">
        <v>9</v>
      </c>
      <c r="F4" s="11" t="str">
        <f>REPT("0",D4-LEN(C4))&amp;C4</f>
        <v>10000000000001</v>
      </c>
    </row>
    <row r="5" spans="1:26" x14ac:dyDescent="0.25">
      <c r="B5" s="10" t="s">
        <v>326</v>
      </c>
      <c r="C5" s="17" t="str">
        <f>VLOOKUP(C4,Empresas[#All],4,0)</f>
        <v>0001</v>
      </c>
      <c r="D5" s="11">
        <v>5</v>
      </c>
      <c r="E5" s="12">
        <v>9</v>
      </c>
      <c r="F5" s="11" t="str">
        <f>REPT("0",D5-LEN(C5))&amp;C5</f>
        <v>00001</v>
      </c>
    </row>
    <row r="6" spans="1:26" x14ac:dyDescent="0.25">
      <c r="B6" s="10" t="s">
        <v>8</v>
      </c>
      <c r="C6" s="17">
        <f>VLOOKUP(C4,Empresas[#All],5,0)</f>
        <v>11111</v>
      </c>
      <c r="D6" s="11">
        <v>12</v>
      </c>
      <c r="E6" s="12">
        <v>9</v>
      </c>
      <c r="F6" s="11" t="str">
        <f t="shared" ref="F6:F7" si="0">REPT("0",D6-LEN(C6))&amp;C6</f>
        <v>000000011111</v>
      </c>
    </row>
    <row r="7" spans="1:26" x14ac:dyDescent="0.25">
      <c r="B7" s="10" t="s">
        <v>9</v>
      </c>
      <c r="C7" s="17">
        <f>VLOOKUP(C4,Empresas[#All],6,0)</f>
        <v>1</v>
      </c>
      <c r="D7" s="11">
        <v>1</v>
      </c>
      <c r="E7" s="12">
        <v>9</v>
      </c>
      <c r="F7" s="11" t="str">
        <f t="shared" si="0"/>
        <v>1</v>
      </c>
    </row>
    <row r="8" spans="1:26" x14ac:dyDescent="0.25">
      <c r="B8" s="10" t="s">
        <v>10</v>
      </c>
      <c r="C8" s="17" t="str">
        <f>VLOOKUP(C4,Empresas[#All],3,0)</f>
        <v>Empresa 1  LTDA</v>
      </c>
      <c r="D8" s="11">
        <v>30</v>
      </c>
      <c r="E8" s="12" t="s">
        <v>305</v>
      </c>
      <c r="F8" s="11" t="str">
        <f>C8&amp;REPT(" ",D8-LEN(C8))</f>
        <v xml:space="preserve">Empresa 1  LTDA               </v>
      </c>
    </row>
    <row r="9" spans="1:26" x14ac:dyDescent="0.25">
      <c r="B9" s="10" t="s">
        <v>15</v>
      </c>
      <c r="C9" s="18">
        <v>44755</v>
      </c>
      <c r="D9" s="11">
        <v>8</v>
      </c>
      <c r="E9" s="12">
        <v>9</v>
      </c>
      <c r="F9" s="11" t="str">
        <f>SUBSTITUTE(TEXT(C9,"DD/MM/AAAA"),"/","")</f>
        <v>13072022</v>
      </c>
    </row>
    <row r="10" spans="1:26" x14ac:dyDescent="0.25">
      <c r="B10" s="10" t="s">
        <v>16</v>
      </c>
      <c r="C10" s="23">
        <v>0.90214120370370365</v>
      </c>
      <c r="D10" s="11">
        <v>6</v>
      </c>
      <c r="E10" s="12">
        <v>9</v>
      </c>
      <c r="F10" s="11" t="str">
        <f>SUBSTITUTE(TEXT(C10,"hh:mm:ss"),":","")</f>
        <v>213905</v>
      </c>
    </row>
  </sheetData>
  <mergeCells count="1">
    <mergeCell ref="B3:C3"/>
  </mergeCells>
  <dataValidations count="1">
    <dataValidation type="list" allowBlank="1" showInputMessage="1" showErrorMessage="1" sqref="C4" xr:uid="{2FF77E4A-48BA-41AF-A240-6E2833B15A92}">
      <formula1>CNPJs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06AF9-93AB-44DB-A03A-93EB34490DCB}">
  <sheetPr codeName="Planilha3"/>
  <dimension ref="A1:Z28"/>
  <sheetViews>
    <sheetView showGridLines="0" workbookViewId="0">
      <selection activeCell="C4" sqref="C4"/>
    </sheetView>
  </sheetViews>
  <sheetFormatPr defaultRowHeight="15" x14ac:dyDescent="0.25"/>
  <cols>
    <col min="2" max="2" width="20.7109375" bestFit="1" customWidth="1"/>
    <col min="3" max="3" width="57.140625" customWidth="1"/>
    <col min="4" max="4" width="18.42578125" hidden="1" customWidth="1"/>
    <col min="5" max="5" width="14.140625" hidden="1" customWidth="1"/>
    <col min="6" max="6" width="34.7109375" hidden="1" customWidth="1"/>
    <col min="8" max="8" width="14.28515625" customWidth="1"/>
    <col min="9" max="9" width="12" customWidth="1"/>
    <col min="10" max="10" width="26.42578125" customWidth="1"/>
    <col min="12" max="12" width="10.7109375" bestFit="1" customWidth="1"/>
    <col min="13" max="13" width="13.28515625" bestFit="1" customWidth="1"/>
    <col min="14" max="14" width="23.28515625" bestFit="1" customWidth="1"/>
  </cols>
  <sheetData>
    <row r="1" spans="1:26" ht="37.5" customHeight="1" x14ac:dyDescent="0.25">
      <c r="A1" s="6" t="s">
        <v>316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3" spans="1:26" ht="15.75" x14ac:dyDescent="0.25">
      <c r="B3" s="48" t="s">
        <v>317</v>
      </c>
      <c r="C3" s="48"/>
      <c r="D3" s="8" t="s">
        <v>302</v>
      </c>
      <c r="E3" s="8" t="s">
        <v>304</v>
      </c>
      <c r="F3" s="8" t="s">
        <v>303</v>
      </c>
      <c r="H3" s="20" t="s">
        <v>336</v>
      </c>
      <c r="I3" s="20" t="s">
        <v>331</v>
      </c>
      <c r="J3" s="20" t="s">
        <v>332</v>
      </c>
    </row>
    <row r="4" spans="1:26" x14ac:dyDescent="0.25">
      <c r="B4" s="9" t="s">
        <v>318</v>
      </c>
      <c r="C4" s="16" t="s">
        <v>28</v>
      </c>
      <c r="D4" s="11">
        <v>2</v>
      </c>
      <c r="E4" s="14">
        <v>9</v>
      </c>
      <c r="F4" s="11">
        <f>VLOOKUP(C4,Tipo_Pgmt[],2,0)</f>
        <v>20</v>
      </c>
      <c r="H4" s="9">
        <v>3</v>
      </c>
      <c r="I4" s="9" t="str">
        <f>REPT("0",4-LEN(H4))&amp;H4</f>
        <v>0003</v>
      </c>
      <c r="J4" s="9">
        <v>1</v>
      </c>
    </row>
    <row r="5" spans="1:26" x14ac:dyDescent="0.25">
      <c r="B5" s="9" t="s">
        <v>86</v>
      </c>
      <c r="C5" s="16" t="s">
        <v>33</v>
      </c>
      <c r="D5" s="11">
        <v>2</v>
      </c>
      <c r="E5" s="14">
        <v>9</v>
      </c>
      <c r="F5" s="13" t="str">
        <f>VLOOKUP(C5,Forma_Pgmt[],2,0)</f>
        <v>01</v>
      </c>
    </row>
    <row r="6" spans="1:26" ht="15" customHeight="1" x14ac:dyDescent="0.25">
      <c r="B6" s="9" t="s">
        <v>4</v>
      </c>
      <c r="C6" s="16" t="s">
        <v>553</v>
      </c>
      <c r="D6" s="11">
        <v>14</v>
      </c>
      <c r="E6" s="15">
        <v>9</v>
      </c>
      <c r="F6" s="11" t="str">
        <f>C6</f>
        <v>10000000000001</v>
      </c>
      <c r="H6" s="20" t="s">
        <v>334</v>
      </c>
      <c r="I6" s="20" t="s">
        <v>333</v>
      </c>
      <c r="J6" s="20" t="s">
        <v>335</v>
      </c>
    </row>
    <row r="7" spans="1:26" x14ac:dyDescent="0.25">
      <c r="B7" s="10" t="s">
        <v>6</v>
      </c>
      <c r="C7" s="17" t="str">
        <f>VLOOKUP(C6,Empresas[#All],4,0)</f>
        <v>0001</v>
      </c>
      <c r="D7" s="11">
        <v>5</v>
      </c>
      <c r="E7" s="15">
        <v>9</v>
      </c>
      <c r="F7" s="11" t="str">
        <f>REPT("0",D7-LEN(C7))&amp;C7</f>
        <v>00001</v>
      </c>
      <c r="H7" s="21" t="s">
        <v>545</v>
      </c>
      <c r="I7" s="21" t="s">
        <v>546</v>
      </c>
      <c r="J7" s="9">
        <v>153</v>
      </c>
    </row>
    <row r="8" spans="1:26" x14ac:dyDescent="0.25">
      <c r="B8" s="10" t="s">
        <v>8</v>
      </c>
      <c r="C8" s="17">
        <f>VLOOKUP(C6,Empresas[#All],5,0)</f>
        <v>11111</v>
      </c>
      <c r="D8" s="11">
        <v>12</v>
      </c>
      <c r="E8" s="15">
        <v>9</v>
      </c>
      <c r="F8" s="11" t="str">
        <f t="shared" ref="F8:F9" si="0">REPT("0",D8-LEN(C8))&amp;C8</f>
        <v>000000011111</v>
      </c>
    </row>
    <row r="9" spans="1:26" x14ac:dyDescent="0.25">
      <c r="B9" s="10" t="s">
        <v>9</v>
      </c>
      <c r="C9" s="17">
        <f>VLOOKUP(C6,Empresas[#All],6,0)</f>
        <v>1</v>
      </c>
      <c r="D9" s="11">
        <v>1</v>
      </c>
      <c r="E9" s="15">
        <v>9</v>
      </c>
      <c r="F9" s="11" t="str">
        <f t="shared" si="0"/>
        <v>1</v>
      </c>
    </row>
    <row r="10" spans="1:26" x14ac:dyDescent="0.25">
      <c r="B10" s="10" t="s">
        <v>10</v>
      </c>
      <c r="C10" s="17" t="str">
        <f>VLOOKUP(C6,Empresas[#All],3,0)</f>
        <v>Empresa 1  LTDA</v>
      </c>
      <c r="D10" s="11">
        <v>30</v>
      </c>
      <c r="E10" s="15" t="s">
        <v>305</v>
      </c>
      <c r="F10" s="11" t="str">
        <f>C10&amp;REPT(" ",D10-LEN(C10))</f>
        <v xml:space="preserve">Empresa 1  LTDA               </v>
      </c>
    </row>
    <row r="17" spans="12:13" x14ac:dyDescent="0.25">
      <c r="M17" s="19"/>
    </row>
    <row r="28" spans="12:13" x14ac:dyDescent="0.25">
      <c r="L28" s="19"/>
    </row>
  </sheetData>
  <mergeCells count="1">
    <mergeCell ref="B3:C3"/>
  </mergeCells>
  <dataValidations count="3">
    <dataValidation type="list" allowBlank="1" showInputMessage="1" showErrorMessage="1" sqref="C4" xr:uid="{58C4A03D-C540-4FDD-B315-65DEFF4A48C8}">
      <formula1>TipoPgmt</formula1>
    </dataValidation>
    <dataValidation type="list" allowBlank="1" showInputMessage="1" showErrorMessage="1" sqref="C5" xr:uid="{6A2351E2-54E3-4D2A-8BFF-06979461EFFF}">
      <formula1>FormaPgmt</formula1>
    </dataValidation>
    <dataValidation type="list" allowBlank="1" showInputMessage="1" showErrorMessage="1" sqref="C6" xr:uid="{02C9F3B4-E2A2-4371-8A25-41708F06B2C9}">
      <formula1>CNPJs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38D45-2FD3-45DB-B6CB-7E4CD17BE0CF}">
  <sheetPr codeName="Planilha4"/>
  <dimension ref="A1:U96"/>
  <sheetViews>
    <sheetView workbookViewId="0">
      <selection activeCell="F8" sqref="F8"/>
    </sheetView>
  </sheetViews>
  <sheetFormatPr defaultRowHeight="15" x14ac:dyDescent="0.25"/>
  <cols>
    <col min="2" max="2" width="23.42578125" bestFit="1" customWidth="1"/>
    <col min="3" max="3" width="11.7109375" bestFit="1" customWidth="1"/>
    <col min="4" max="4" width="17" bestFit="1" customWidth="1"/>
    <col min="5" max="5" width="8.7109375" bestFit="1" customWidth="1"/>
    <col min="6" max="6" width="14.85546875" bestFit="1" customWidth="1"/>
    <col min="7" max="7" width="29.42578125" bestFit="1" customWidth="1"/>
    <col min="8" max="8" width="36.5703125" style="19" bestFit="1" customWidth="1"/>
    <col min="9" max="9" width="19.7109375" bestFit="1" customWidth="1"/>
    <col min="10" max="10" width="20" bestFit="1" customWidth="1"/>
    <col min="11" max="11" width="14.42578125" bestFit="1" customWidth="1"/>
    <col min="12" max="12" width="10.42578125" bestFit="1" customWidth="1"/>
  </cols>
  <sheetData>
    <row r="1" spans="1:21" ht="37.5" customHeight="1" x14ac:dyDescent="0.25">
      <c r="A1" s="6" t="s">
        <v>544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x14ac:dyDescent="0.25">
      <c r="H2"/>
    </row>
    <row r="3" spans="1:21" x14ac:dyDescent="0.25">
      <c r="I3" s="22"/>
    </row>
    <row r="4" spans="1:21" ht="15.75" x14ac:dyDescent="0.25">
      <c r="B4" s="5" t="s">
        <v>70</v>
      </c>
      <c r="C4" s="5" t="s">
        <v>515</v>
      </c>
      <c r="D4" s="5" t="s">
        <v>329</v>
      </c>
      <c r="E4" s="5" t="s">
        <v>315</v>
      </c>
      <c r="F4" s="5" t="s">
        <v>330</v>
      </c>
      <c r="G4" s="5" t="s">
        <v>68</v>
      </c>
      <c r="H4" s="5" t="s">
        <v>71</v>
      </c>
      <c r="I4" s="5" t="s">
        <v>77</v>
      </c>
      <c r="J4" s="5" t="s">
        <v>81</v>
      </c>
      <c r="K4" s="5" t="s">
        <v>328</v>
      </c>
    </row>
    <row r="5" spans="1:21" x14ac:dyDescent="0.25">
      <c r="B5" t="s">
        <v>3</v>
      </c>
      <c r="C5" t="s">
        <v>341</v>
      </c>
      <c r="E5" t="s">
        <v>343</v>
      </c>
      <c r="F5" s="22">
        <v>9</v>
      </c>
      <c r="G5" t="s">
        <v>564</v>
      </c>
      <c r="H5" s="19">
        <v>44747</v>
      </c>
      <c r="I5">
        <v>3940.93</v>
      </c>
      <c r="J5" t="s">
        <v>342</v>
      </c>
      <c r="L5" s="26"/>
    </row>
    <row r="6" spans="1:21" x14ac:dyDescent="0.25">
      <c r="B6" t="s">
        <v>3</v>
      </c>
      <c r="C6" s="1" t="s">
        <v>565</v>
      </c>
      <c r="E6" s="1" t="s">
        <v>566</v>
      </c>
      <c r="F6" s="22">
        <v>8</v>
      </c>
      <c r="G6" t="s">
        <v>578</v>
      </c>
      <c r="H6" s="19">
        <v>44747</v>
      </c>
      <c r="I6">
        <v>9658.32</v>
      </c>
      <c r="J6" s="1" t="s">
        <v>585</v>
      </c>
      <c r="L6" s="26"/>
    </row>
    <row r="7" spans="1:21" x14ac:dyDescent="0.25">
      <c r="B7" t="s">
        <v>3</v>
      </c>
      <c r="C7" s="1" t="s">
        <v>567</v>
      </c>
      <c r="E7" s="1" t="s">
        <v>572</v>
      </c>
      <c r="F7" s="22">
        <v>5</v>
      </c>
      <c r="G7" t="s">
        <v>579</v>
      </c>
      <c r="H7" s="19">
        <v>44747</v>
      </c>
      <c r="I7">
        <v>563.21</v>
      </c>
      <c r="J7" s="1" t="s">
        <v>586</v>
      </c>
      <c r="L7" s="26"/>
    </row>
    <row r="8" spans="1:21" x14ac:dyDescent="0.25">
      <c r="B8" t="s">
        <v>3</v>
      </c>
      <c r="C8" s="1" t="s">
        <v>568</v>
      </c>
      <c r="E8" s="1" t="s">
        <v>573</v>
      </c>
      <c r="F8" s="22">
        <v>6</v>
      </c>
      <c r="G8" t="s">
        <v>580</v>
      </c>
      <c r="H8" s="19">
        <v>44747</v>
      </c>
      <c r="I8">
        <v>45.26</v>
      </c>
      <c r="J8" s="1" t="s">
        <v>587</v>
      </c>
      <c r="L8" s="26"/>
    </row>
    <row r="9" spans="1:21" x14ac:dyDescent="0.25">
      <c r="B9" t="s">
        <v>3</v>
      </c>
      <c r="C9" s="1" t="s">
        <v>569</v>
      </c>
      <c r="E9" s="1" t="s">
        <v>574</v>
      </c>
      <c r="F9" s="22">
        <v>3</v>
      </c>
      <c r="G9" t="s">
        <v>581</v>
      </c>
      <c r="H9" s="19">
        <v>44747</v>
      </c>
      <c r="I9">
        <v>96.85</v>
      </c>
      <c r="J9" s="1" t="s">
        <v>588</v>
      </c>
      <c r="L9" s="26"/>
    </row>
    <row r="10" spans="1:21" x14ac:dyDescent="0.25">
      <c r="B10" t="s">
        <v>3</v>
      </c>
      <c r="C10" s="1" t="s">
        <v>570</v>
      </c>
      <c r="E10" s="1" t="s">
        <v>575</v>
      </c>
      <c r="F10" s="22">
        <v>2</v>
      </c>
      <c r="G10" t="s">
        <v>582</v>
      </c>
      <c r="H10" s="19">
        <v>44747</v>
      </c>
      <c r="I10">
        <v>12.36</v>
      </c>
      <c r="J10" s="1" t="s">
        <v>590</v>
      </c>
      <c r="L10" s="26"/>
    </row>
    <row r="11" spans="1:21" x14ac:dyDescent="0.25">
      <c r="B11" t="s">
        <v>3</v>
      </c>
      <c r="C11" s="1" t="s">
        <v>571</v>
      </c>
      <c r="E11" s="1" t="s">
        <v>576</v>
      </c>
      <c r="F11" s="22">
        <v>4</v>
      </c>
      <c r="G11" t="s">
        <v>583</v>
      </c>
      <c r="H11" s="19">
        <v>44747</v>
      </c>
      <c r="I11">
        <v>6945.76</v>
      </c>
      <c r="J11" s="1" t="s">
        <v>589</v>
      </c>
      <c r="L11" s="26"/>
    </row>
    <row r="12" spans="1:21" x14ac:dyDescent="0.25">
      <c r="B12" t="s">
        <v>3</v>
      </c>
      <c r="C12" s="1" t="s">
        <v>570</v>
      </c>
      <c r="E12" s="1" t="s">
        <v>577</v>
      </c>
      <c r="F12" s="22">
        <v>8</v>
      </c>
      <c r="G12" t="s">
        <v>584</v>
      </c>
      <c r="H12" s="19">
        <v>44747</v>
      </c>
      <c r="I12">
        <v>1274.3</v>
      </c>
      <c r="J12" s="1" t="s">
        <v>591</v>
      </c>
      <c r="L12" s="26"/>
    </row>
    <row r="13" spans="1:21" x14ac:dyDescent="0.25">
      <c r="F13" s="22"/>
      <c r="L13" s="26"/>
    </row>
    <row r="14" spans="1:21" x14ac:dyDescent="0.25">
      <c r="F14" s="22"/>
      <c r="L14" s="26"/>
    </row>
    <row r="15" spans="1:21" x14ac:dyDescent="0.25">
      <c r="F15" s="22"/>
      <c r="L15" s="26"/>
    </row>
    <row r="16" spans="1:21" x14ac:dyDescent="0.25">
      <c r="F16" s="22"/>
      <c r="L16" s="26"/>
    </row>
    <row r="17" spans="6:6" x14ac:dyDescent="0.25">
      <c r="F17" s="22"/>
    </row>
    <row r="18" spans="6:6" x14ac:dyDescent="0.25">
      <c r="F18" s="22"/>
    </row>
    <row r="19" spans="6:6" x14ac:dyDescent="0.25">
      <c r="F19" s="22"/>
    </row>
    <row r="20" spans="6:6" x14ac:dyDescent="0.25">
      <c r="F20" s="22"/>
    </row>
    <row r="21" spans="6:6" x14ac:dyDescent="0.25">
      <c r="F21" s="22"/>
    </row>
    <row r="22" spans="6:6" x14ac:dyDescent="0.25">
      <c r="F22" s="22"/>
    </row>
    <row r="23" spans="6:6" x14ac:dyDescent="0.25">
      <c r="F23" s="22"/>
    </row>
    <row r="24" spans="6:6" x14ac:dyDescent="0.25">
      <c r="F24" s="22"/>
    </row>
    <row r="25" spans="6:6" x14ac:dyDescent="0.25">
      <c r="F25" s="22"/>
    </row>
    <row r="26" spans="6:6" x14ac:dyDescent="0.25">
      <c r="F26" s="22"/>
    </row>
    <row r="27" spans="6:6" x14ac:dyDescent="0.25">
      <c r="F27" s="22"/>
    </row>
    <row r="28" spans="6:6" x14ac:dyDescent="0.25">
      <c r="F28" s="22"/>
    </row>
    <row r="29" spans="6:6" x14ac:dyDescent="0.25">
      <c r="F29" s="22"/>
    </row>
    <row r="30" spans="6:6" x14ac:dyDescent="0.25">
      <c r="F30" s="22"/>
    </row>
    <row r="31" spans="6:6" x14ac:dyDescent="0.25">
      <c r="F31" s="22"/>
    </row>
    <row r="32" spans="6:6" x14ac:dyDescent="0.25">
      <c r="F32" s="22"/>
    </row>
    <row r="33" spans="6:6" x14ac:dyDescent="0.25">
      <c r="F33" s="22"/>
    </row>
    <row r="34" spans="6:6" x14ac:dyDescent="0.25">
      <c r="F34" s="22"/>
    </row>
    <row r="35" spans="6:6" x14ac:dyDescent="0.25">
      <c r="F35" s="22"/>
    </row>
    <row r="36" spans="6:6" x14ac:dyDescent="0.25">
      <c r="F36" s="22"/>
    </row>
    <row r="37" spans="6:6" x14ac:dyDescent="0.25">
      <c r="F37" s="22"/>
    </row>
    <row r="38" spans="6:6" x14ac:dyDescent="0.25">
      <c r="F38" s="22"/>
    </row>
    <row r="39" spans="6:6" x14ac:dyDescent="0.25">
      <c r="F39" s="22"/>
    </row>
    <row r="40" spans="6:6" x14ac:dyDescent="0.25">
      <c r="F40" s="22"/>
    </row>
    <row r="41" spans="6:6" x14ac:dyDescent="0.25">
      <c r="F41" s="22"/>
    </row>
    <row r="42" spans="6:6" x14ac:dyDescent="0.25">
      <c r="F42" s="22"/>
    </row>
    <row r="43" spans="6:6" x14ac:dyDescent="0.25">
      <c r="F43" s="22"/>
    </row>
    <row r="44" spans="6:6" x14ac:dyDescent="0.25">
      <c r="F44" s="22"/>
    </row>
    <row r="45" spans="6:6" x14ac:dyDescent="0.25">
      <c r="F45" s="22"/>
    </row>
    <row r="46" spans="6:6" x14ac:dyDescent="0.25">
      <c r="F46" s="22"/>
    </row>
    <row r="47" spans="6:6" x14ac:dyDescent="0.25">
      <c r="F47" s="22"/>
    </row>
    <row r="48" spans="6:6" x14ac:dyDescent="0.25">
      <c r="F48" s="22"/>
    </row>
    <row r="49" spans="5:6" x14ac:dyDescent="0.25">
      <c r="F49" s="22"/>
    </row>
    <row r="50" spans="5:6" x14ac:dyDescent="0.25">
      <c r="F50" s="22"/>
    </row>
    <row r="51" spans="5:6" x14ac:dyDescent="0.25">
      <c r="F51" s="22"/>
    </row>
    <row r="52" spans="5:6" x14ac:dyDescent="0.25">
      <c r="F52" s="22"/>
    </row>
    <row r="53" spans="5:6" x14ac:dyDescent="0.25">
      <c r="F53" s="22"/>
    </row>
    <row r="54" spans="5:6" x14ac:dyDescent="0.25">
      <c r="F54" s="22"/>
    </row>
    <row r="55" spans="5:6" x14ac:dyDescent="0.25">
      <c r="F55" s="22"/>
    </row>
    <row r="56" spans="5:6" x14ac:dyDescent="0.25">
      <c r="F56" s="22"/>
    </row>
    <row r="57" spans="5:6" x14ac:dyDescent="0.25">
      <c r="F57" s="22"/>
    </row>
    <row r="58" spans="5:6" x14ac:dyDescent="0.25">
      <c r="F58" s="22"/>
    </row>
    <row r="59" spans="5:6" x14ac:dyDescent="0.25">
      <c r="E59" s="1"/>
      <c r="F59" s="22"/>
    </row>
    <row r="60" spans="5:6" x14ac:dyDescent="0.25">
      <c r="F60" s="22"/>
    </row>
    <row r="61" spans="5:6" x14ac:dyDescent="0.25">
      <c r="F61" s="22"/>
    </row>
    <row r="62" spans="5:6" x14ac:dyDescent="0.25">
      <c r="F62" s="22"/>
    </row>
    <row r="63" spans="5:6" x14ac:dyDescent="0.25">
      <c r="F63" s="22"/>
    </row>
    <row r="64" spans="5:6" x14ac:dyDescent="0.25">
      <c r="F64" s="22"/>
    </row>
    <row r="65" spans="6:6" x14ac:dyDescent="0.25">
      <c r="F65" s="22"/>
    </row>
    <row r="66" spans="6:6" x14ac:dyDescent="0.25">
      <c r="F66" s="22"/>
    </row>
    <row r="67" spans="6:6" x14ac:dyDescent="0.25">
      <c r="F67" s="22"/>
    </row>
    <row r="68" spans="6:6" x14ac:dyDescent="0.25">
      <c r="F68" s="22"/>
    </row>
    <row r="69" spans="6:6" x14ac:dyDescent="0.25">
      <c r="F69" s="22"/>
    </row>
    <row r="70" spans="6:6" x14ac:dyDescent="0.25">
      <c r="F70" s="22"/>
    </row>
    <row r="71" spans="6:6" x14ac:dyDescent="0.25">
      <c r="F71" s="22"/>
    </row>
    <row r="72" spans="6:6" x14ac:dyDescent="0.25">
      <c r="F72" s="22"/>
    </row>
    <row r="73" spans="6:6" x14ac:dyDescent="0.25">
      <c r="F73" s="22"/>
    </row>
    <row r="74" spans="6:6" x14ac:dyDescent="0.25">
      <c r="F74" s="22"/>
    </row>
    <row r="75" spans="6:6" x14ac:dyDescent="0.25">
      <c r="F75" s="22"/>
    </row>
    <row r="76" spans="6:6" x14ac:dyDescent="0.25">
      <c r="F76" s="22"/>
    </row>
    <row r="77" spans="6:6" x14ac:dyDescent="0.25">
      <c r="F77" s="22"/>
    </row>
    <row r="78" spans="6:6" x14ac:dyDescent="0.25">
      <c r="F78" s="22"/>
    </row>
    <row r="79" spans="6:6" x14ac:dyDescent="0.25">
      <c r="F79" s="22"/>
    </row>
    <row r="80" spans="6:6" x14ac:dyDescent="0.25">
      <c r="F80" s="22"/>
    </row>
    <row r="81" spans="6:6" x14ac:dyDescent="0.25">
      <c r="F81" s="22"/>
    </row>
    <row r="82" spans="6:6" x14ac:dyDescent="0.25">
      <c r="F82" s="22"/>
    </row>
    <row r="83" spans="6:6" x14ac:dyDescent="0.25">
      <c r="F83" s="22"/>
    </row>
    <row r="84" spans="6:6" x14ac:dyDescent="0.25">
      <c r="F84" s="22"/>
    </row>
    <row r="85" spans="6:6" x14ac:dyDescent="0.25">
      <c r="F85" s="22"/>
    </row>
    <row r="86" spans="6:6" x14ac:dyDescent="0.25">
      <c r="F86" s="22"/>
    </row>
    <row r="87" spans="6:6" x14ac:dyDescent="0.25">
      <c r="F87" s="22"/>
    </row>
    <row r="88" spans="6:6" x14ac:dyDescent="0.25">
      <c r="F88" s="22"/>
    </row>
    <row r="89" spans="6:6" x14ac:dyDescent="0.25">
      <c r="F89" s="22"/>
    </row>
    <row r="90" spans="6:6" x14ac:dyDescent="0.25">
      <c r="F90" s="22"/>
    </row>
    <row r="91" spans="6:6" x14ac:dyDescent="0.25">
      <c r="F91" s="22"/>
    </row>
    <row r="92" spans="6:6" x14ac:dyDescent="0.25">
      <c r="F92" s="22"/>
    </row>
    <row r="93" spans="6:6" x14ac:dyDescent="0.25">
      <c r="F93" s="22"/>
    </row>
    <row r="94" spans="6:6" x14ac:dyDescent="0.25">
      <c r="F94" s="22"/>
    </row>
    <row r="95" spans="6:6" x14ac:dyDescent="0.25">
      <c r="F95" s="22"/>
    </row>
    <row r="96" spans="6:6" x14ac:dyDescent="0.25">
      <c r="F96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9185B-68A1-45B0-B3F0-10D41A369A87}">
  <sheetPr codeName="Planilha8"/>
  <dimension ref="A1:X82"/>
  <sheetViews>
    <sheetView workbookViewId="0">
      <selection activeCell="A4" sqref="A4"/>
    </sheetView>
  </sheetViews>
  <sheetFormatPr defaultRowHeight="15" x14ac:dyDescent="0.25"/>
  <cols>
    <col min="2" max="2" width="21.140625" customWidth="1"/>
    <col min="3" max="3" width="9.42578125" bestFit="1" customWidth="1"/>
    <col min="4" max="4" width="14.7109375" bestFit="1" customWidth="1"/>
    <col min="5" max="5" width="9.85546875" bestFit="1" customWidth="1"/>
    <col min="6" max="6" width="12.5703125" bestFit="1" customWidth="1"/>
    <col min="7" max="7" width="35.5703125" bestFit="1" customWidth="1"/>
    <col min="8" max="8" width="34.28515625" style="19" bestFit="1" customWidth="1"/>
    <col min="9" max="9" width="17.42578125" bestFit="1" customWidth="1"/>
    <col min="10" max="10" width="17.7109375" bestFit="1" customWidth="1"/>
    <col min="11" max="11" width="15.140625" bestFit="1" customWidth="1"/>
    <col min="12" max="12" width="9.140625" customWidth="1"/>
  </cols>
  <sheetData>
    <row r="1" spans="1:24" ht="37.5" customHeight="1" x14ac:dyDescent="0.25">
      <c r="A1" s="6" t="s">
        <v>543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H2"/>
    </row>
    <row r="3" spans="1:24" x14ac:dyDescent="0.25">
      <c r="I3" s="22"/>
    </row>
    <row r="4" spans="1:24" ht="15.75" x14ac:dyDescent="0.25">
      <c r="B4" s="5" t="s">
        <v>70</v>
      </c>
      <c r="C4" s="5" t="s">
        <v>515</v>
      </c>
      <c r="D4" s="5" t="s">
        <v>329</v>
      </c>
      <c r="E4" s="5" t="s">
        <v>315</v>
      </c>
      <c r="F4" s="5" t="s">
        <v>330</v>
      </c>
      <c r="G4" s="5" t="s">
        <v>68</v>
      </c>
      <c r="H4" s="5" t="s">
        <v>71</v>
      </c>
      <c r="I4" s="5" t="s">
        <v>77</v>
      </c>
      <c r="J4" s="5" t="s">
        <v>81</v>
      </c>
      <c r="K4" s="5" t="s">
        <v>328</v>
      </c>
    </row>
    <row r="5" spans="1:24" x14ac:dyDescent="0.25">
      <c r="B5">
        <v>33</v>
      </c>
      <c r="C5" s="1">
        <v>2542</v>
      </c>
      <c r="E5" s="1">
        <v>1477</v>
      </c>
      <c r="F5" s="22">
        <v>9</v>
      </c>
      <c r="G5" t="s">
        <v>592</v>
      </c>
      <c r="H5" s="19">
        <v>44747</v>
      </c>
      <c r="I5">
        <v>5156.93</v>
      </c>
      <c r="J5" t="s">
        <v>342</v>
      </c>
    </row>
    <row r="6" spans="1:24" x14ac:dyDescent="0.25">
      <c r="B6">
        <v>212</v>
      </c>
      <c r="C6" s="1">
        <v>9305</v>
      </c>
      <c r="E6" s="1">
        <v>32625</v>
      </c>
      <c r="F6" s="22">
        <v>8</v>
      </c>
      <c r="G6" t="s">
        <v>593</v>
      </c>
      <c r="H6" s="19">
        <v>44747</v>
      </c>
      <c r="I6">
        <v>10675.32</v>
      </c>
      <c r="J6" s="1" t="s">
        <v>585</v>
      </c>
    </row>
    <row r="7" spans="1:24" x14ac:dyDescent="0.25">
      <c r="B7">
        <v>756</v>
      </c>
      <c r="C7" s="1">
        <v>9342</v>
      </c>
      <c r="E7" s="1">
        <v>82671</v>
      </c>
      <c r="F7" s="22">
        <v>5</v>
      </c>
      <c r="G7" t="s">
        <v>594</v>
      </c>
      <c r="H7" s="19">
        <v>44747</v>
      </c>
      <c r="I7">
        <v>1818.21</v>
      </c>
      <c r="J7" s="1" t="s">
        <v>586</v>
      </c>
    </row>
    <row r="8" spans="1:24" x14ac:dyDescent="0.25">
      <c r="B8">
        <v>655</v>
      </c>
      <c r="C8" s="1">
        <v>1656</v>
      </c>
      <c r="D8" s="1"/>
      <c r="E8" s="1">
        <v>14721</v>
      </c>
      <c r="F8" s="22">
        <v>6</v>
      </c>
      <c r="G8" t="s">
        <v>595</v>
      </c>
      <c r="H8" s="19">
        <v>44747</v>
      </c>
      <c r="I8">
        <v>1241.26</v>
      </c>
      <c r="J8" s="1" t="s">
        <v>587</v>
      </c>
    </row>
    <row r="9" spans="1:24" x14ac:dyDescent="0.25">
      <c r="C9" s="1"/>
      <c r="E9" s="1"/>
      <c r="F9" s="22"/>
      <c r="J9" s="1"/>
    </row>
    <row r="10" spans="1:24" x14ac:dyDescent="0.25">
      <c r="F10" s="1"/>
      <c r="J10" s="1"/>
    </row>
    <row r="11" spans="1:24" x14ac:dyDescent="0.25">
      <c r="F11" s="1"/>
      <c r="J11" s="1"/>
    </row>
    <row r="12" spans="1:24" x14ac:dyDescent="0.25">
      <c r="F12" s="1"/>
      <c r="J12" s="1"/>
    </row>
    <row r="13" spans="1:24" x14ac:dyDescent="0.25">
      <c r="F13" s="1"/>
    </row>
    <row r="14" spans="1:24" x14ac:dyDescent="0.25">
      <c r="F14" s="22"/>
    </row>
    <row r="15" spans="1:24" x14ac:dyDescent="0.25">
      <c r="F15" s="22"/>
    </row>
    <row r="16" spans="1:24" x14ac:dyDescent="0.25">
      <c r="F16" s="22"/>
    </row>
    <row r="17" spans="6:6" x14ac:dyDescent="0.25">
      <c r="F17" s="22"/>
    </row>
    <row r="18" spans="6:6" x14ac:dyDescent="0.25">
      <c r="F18" s="22"/>
    </row>
    <row r="19" spans="6:6" x14ac:dyDescent="0.25">
      <c r="F19" s="22"/>
    </row>
    <row r="20" spans="6:6" x14ac:dyDescent="0.25">
      <c r="F20" s="22"/>
    </row>
    <row r="21" spans="6:6" x14ac:dyDescent="0.25">
      <c r="F21" s="22"/>
    </row>
    <row r="22" spans="6:6" x14ac:dyDescent="0.25">
      <c r="F22" s="22"/>
    </row>
    <row r="23" spans="6:6" x14ac:dyDescent="0.25">
      <c r="F23" s="22"/>
    </row>
    <row r="24" spans="6:6" x14ac:dyDescent="0.25">
      <c r="F24" s="22"/>
    </row>
    <row r="25" spans="6:6" x14ac:dyDescent="0.25">
      <c r="F25" s="22"/>
    </row>
    <row r="26" spans="6:6" x14ac:dyDescent="0.25">
      <c r="F26" s="22"/>
    </row>
    <row r="27" spans="6:6" x14ac:dyDescent="0.25">
      <c r="F27" s="22"/>
    </row>
    <row r="28" spans="6:6" x14ac:dyDescent="0.25">
      <c r="F28" s="22"/>
    </row>
    <row r="29" spans="6:6" x14ac:dyDescent="0.25">
      <c r="F29" s="22"/>
    </row>
    <row r="30" spans="6:6" x14ac:dyDescent="0.25">
      <c r="F30" s="22"/>
    </row>
    <row r="31" spans="6:6" x14ac:dyDescent="0.25">
      <c r="F31" s="22"/>
    </row>
    <row r="32" spans="6:6" x14ac:dyDescent="0.25">
      <c r="F32" s="22"/>
    </row>
    <row r="33" spans="6:6" x14ac:dyDescent="0.25">
      <c r="F33" s="22"/>
    </row>
    <row r="34" spans="6:6" x14ac:dyDescent="0.25">
      <c r="F34" s="22"/>
    </row>
    <row r="35" spans="6:6" x14ac:dyDescent="0.25">
      <c r="F35" s="22"/>
    </row>
    <row r="36" spans="6:6" x14ac:dyDescent="0.25">
      <c r="F36" s="22"/>
    </row>
    <row r="37" spans="6:6" x14ac:dyDescent="0.25">
      <c r="F37" s="22"/>
    </row>
    <row r="38" spans="6:6" x14ac:dyDescent="0.25">
      <c r="F38" s="22"/>
    </row>
    <row r="39" spans="6:6" x14ac:dyDescent="0.25">
      <c r="F39" s="22"/>
    </row>
    <row r="40" spans="6:6" x14ac:dyDescent="0.25">
      <c r="F40" s="22"/>
    </row>
    <row r="41" spans="6:6" x14ac:dyDescent="0.25">
      <c r="F41" s="22"/>
    </row>
    <row r="42" spans="6:6" x14ac:dyDescent="0.25">
      <c r="F42" s="22"/>
    </row>
    <row r="43" spans="6:6" x14ac:dyDescent="0.25">
      <c r="F43" s="22"/>
    </row>
    <row r="44" spans="6:6" x14ac:dyDescent="0.25">
      <c r="F44" s="22"/>
    </row>
    <row r="45" spans="6:6" x14ac:dyDescent="0.25">
      <c r="F45" s="22"/>
    </row>
    <row r="46" spans="6:6" x14ac:dyDescent="0.25">
      <c r="F46" s="22"/>
    </row>
    <row r="47" spans="6:6" x14ac:dyDescent="0.25">
      <c r="F47" s="22"/>
    </row>
    <row r="48" spans="6:6" x14ac:dyDescent="0.25">
      <c r="F48" s="22"/>
    </row>
    <row r="49" spans="6:6" x14ac:dyDescent="0.25">
      <c r="F49" s="22"/>
    </row>
    <row r="50" spans="6:6" x14ac:dyDescent="0.25">
      <c r="F50" s="22"/>
    </row>
    <row r="51" spans="6:6" x14ac:dyDescent="0.25">
      <c r="F51" s="22"/>
    </row>
    <row r="52" spans="6:6" x14ac:dyDescent="0.25">
      <c r="F52" s="22"/>
    </row>
    <row r="53" spans="6:6" x14ac:dyDescent="0.25">
      <c r="F53" s="22"/>
    </row>
    <row r="54" spans="6:6" x14ac:dyDescent="0.25">
      <c r="F54" s="22"/>
    </row>
    <row r="55" spans="6:6" x14ac:dyDescent="0.25">
      <c r="F55" s="22"/>
    </row>
    <row r="56" spans="6:6" x14ac:dyDescent="0.25">
      <c r="F56" s="22"/>
    </row>
    <row r="57" spans="6:6" x14ac:dyDescent="0.25">
      <c r="F57" s="22"/>
    </row>
    <row r="58" spans="6:6" x14ac:dyDescent="0.25">
      <c r="F58" s="22"/>
    </row>
    <row r="59" spans="6:6" x14ac:dyDescent="0.25">
      <c r="F59" s="22"/>
    </row>
    <row r="60" spans="6:6" x14ac:dyDescent="0.25">
      <c r="F60" s="22"/>
    </row>
    <row r="61" spans="6:6" x14ac:dyDescent="0.25">
      <c r="F61" s="22"/>
    </row>
    <row r="62" spans="6:6" x14ac:dyDescent="0.25">
      <c r="F62" s="22"/>
    </row>
    <row r="63" spans="6:6" x14ac:dyDescent="0.25">
      <c r="F63" s="22"/>
    </row>
    <row r="64" spans="6:6" x14ac:dyDescent="0.25">
      <c r="F64" s="22"/>
    </row>
    <row r="65" spans="6:6" x14ac:dyDescent="0.25">
      <c r="F65" s="22"/>
    </row>
    <row r="66" spans="6:6" x14ac:dyDescent="0.25">
      <c r="F66" s="22"/>
    </row>
    <row r="67" spans="6:6" x14ac:dyDescent="0.25">
      <c r="F67" s="22"/>
    </row>
    <row r="68" spans="6:6" x14ac:dyDescent="0.25">
      <c r="F68" s="22"/>
    </row>
    <row r="69" spans="6:6" x14ac:dyDescent="0.25">
      <c r="F69" s="22"/>
    </row>
    <row r="70" spans="6:6" x14ac:dyDescent="0.25">
      <c r="F70" s="22"/>
    </row>
    <row r="71" spans="6:6" x14ac:dyDescent="0.25">
      <c r="F71" s="22"/>
    </row>
    <row r="72" spans="6:6" x14ac:dyDescent="0.25">
      <c r="F72" s="22"/>
    </row>
    <row r="73" spans="6:6" x14ac:dyDescent="0.25">
      <c r="F73" s="22"/>
    </row>
    <row r="74" spans="6:6" x14ac:dyDescent="0.25">
      <c r="F74" s="22"/>
    </row>
    <row r="75" spans="6:6" x14ac:dyDescent="0.25">
      <c r="F75" s="22"/>
    </row>
    <row r="76" spans="6:6" x14ac:dyDescent="0.25">
      <c r="F76" s="22"/>
    </row>
    <row r="77" spans="6:6" x14ac:dyDescent="0.25">
      <c r="F77" s="22"/>
    </row>
    <row r="78" spans="6:6" x14ac:dyDescent="0.25">
      <c r="F78" s="22"/>
    </row>
    <row r="79" spans="6:6" x14ac:dyDescent="0.25">
      <c r="F79" s="22"/>
    </row>
    <row r="80" spans="6:6" x14ac:dyDescent="0.25">
      <c r="F80" s="22"/>
    </row>
    <row r="81" spans="6:6" x14ac:dyDescent="0.25">
      <c r="F81" s="22"/>
    </row>
    <row r="82" spans="6:6" x14ac:dyDescent="0.25">
      <c r="F82" s="2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25DD9-F8FC-4580-BC5F-A73AE5139DB6}">
  <sheetPr codeName="Planilha6"/>
  <dimension ref="A1:Z156"/>
  <sheetViews>
    <sheetView showGridLines="0" workbookViewId="0">
      <selection activeCell="A3" sqref="A3"/>
    </sheetView>
  </sheetViews>
  <sheetFormatPr defaultRowHeight="15" x14ac:dyDescent="0.25"/>
  <cols>
    <col min="2" max="2" width="200.7109375" customWidth="1"/>
    <col min="3" max="3" width="16.42578125" bestFit="1" customWidth="1"/>
  </cols>
  <sheetData>
    <row r="1" spans="1:26" ht="37.5" customHeight="1" x14ac:dyDescent="0.25">
      <c r="A1" s="6" t="s">
        <v>337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19" spans="3:3" x14ac:dyDescent="0.25">
      <c r="C19" s="26"/>
    </row>
    <row r="21" spans="3:3" x14ac:dyDescent="0.25">
      <c r="C21" s="26"/>
    </row>
    <row r="76" spans="2:2" x14ac:dyDescent="0.25">
      <c r="B76" s="1"/>
    </row>
    <row r="156" spans="2:2" x14ac:dyDescent="0.25">
      <c r="B156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282E3-2862-480A-8EEC-612A5D525BA7}">
  <sheetPr codeName="Planilha7"/>
  <dimension ref="A1:AA180"/>
  <sheetViews>
    <sheetView workbookViewId="0">
      <selection activeCell="A4" sqref="A4"/>
    </sheetView>
  </sheetViews>
  <sheetFormatPr defaultRowHeight="15" x14ac:dyDescent="0.25"/>
  <cols>
    <col min="2" max="2" width="17.85546875" bestFit="1" customWidth="1"/>
    <col min="3" max="3" width="3.42578125" bestFit="1" customWidth="1"/>
    <col min="4" max="4" width="33.140625" bestFit="1" customWidth="1"/>
    <col min="5" max="5" width="49.85546875" bestFit="1" customWidth="1"/>
    <col min="6" max="7" width="4.140625" bestFit="1" customWidth="1"/>
    <col min="9" max="9" width="11.140625" bestFit="1" customWidth="1"/>
    <col min="10" max="10" width="22.5703125" bestFit="1" customWidth="1"/>
    <col min="11" max="11" width="16.28515625" bestFit="1" customWidth="1"/>
    <col min="12" max="12" width="8.140625" bestFit="1" customWidth="1"/>
    <col min="13" max="14" width="9.140625" customWidth="1"/>
    <col min="16" max="19" width="9.140625" customWidth="1"/>
  </cols>
  <sheetData>
    <row r="1" spans="1:27" ht="37.5" customHeight="1" x14ac:dyDescent="0.25">
      <c r="A1" s="6" t="s">
        <v>547</v>
      </c>
      <c r="B1" s="6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4" spans="1:27" x14ac:dyDescent="0.25">
      <c r="B4" s="45" t="s">
        <v>548</v>
      </c>
      <c r="C4" s="24" t="s">
        <v>465</v>
      </c>
    </row>
    <row r="5" spans="1:27" x14ac:dyDescent="0.25">
      <c r="B5" s="45"/>
      <c r="C5" s="24">
        <v>22</v>
      </c>
      <c r="D5" s="24" t="s">
        <v>391</v>
      </c>
      <c r="E5" s="24" t="s">
        <v>392</v>
      </c>
      <c r="F5" s="24" t="s">
        <v>393</v>
      </c>
      <c r="G5" s="24" t="s">
        <v>394</v>
      </c>
      <c r="H5" s="24" t="s">
        <v>23</v>
      </c>
      <c r="I5" s="24" t="s">
        <v>395</v>
      </c>
      <c r="J5" s="24" t="s">
        <v>22</v>
      </c>
      <c r="K5" s="24" t="s">
        <v>516</v>
      </c>
      <c r="L5" s="24" t="s">
        <v>21</v>
      </c>
    </row>
    <row r="6" spans="1:27" x14ac:dyDescent="0.25">
      <c r="D6" s="3" t="s">
        <v>350</v>
      </c>
      <c r="E6" t="s">
        <v>351</v>
      </c>
      <c r="F6" s="22">
        <v>1</v>
      </c>
      <c r="G6" s="22">
        <v>3</v>
      </c>
      <c r="H6">
        <f t="shared" ref="H6:H27" si="0">G6-F6+1</f>
        <v>3</v>
      </c>
      <c r="I6" t="s">
        <v>347</v>
      </c>
      <c r="J6" t="s">
        <v>3</v>
      </c>
      <c r="K6">
        <v>341</v>
      </c>
      <c r="L6">
        <v>0</v>
      </c>
    </row>
    <row r="7" spans="1:27" x14ac:dyDescent="0.25">
      <c r="D7" s="3" t="s">
        <v>352</v>
      </c>
      <c r="E7" t="s">
        <v>353</v>
      </c>
      <c r="F7" s="22">
        <v>4</v>
      </c>
      <c r="G7" s="22">
        <v>7</v>
      </c>
      <c r="H7">
        <f t="shared" si="0"/>
        <v>4</v>
      </c>
      <c r="I7" t="s">
        <v>354</v>
      </c>
      <c r="J7" t="s">
        <v>355</v>
      </c>
      <c r="K7" t="s">
        <v>517</v>
      </c>
      <c r="L7">
        <v>0</v>
      </c>
    </row>
    <row r="8" spans="1:27" x14ac:dyDescent="0.25">
      <c r="D8" s="3" t="s">
        <v>356</v>
      </c>
      <c r="E8" t="s">
        <v>357</v>
      </c>
      <c r="F8" s="22">
        <v>8</v>
      </c>
      <c r="G8" s="22">
        <v>8</v>
      </c>
      <c r="H8">
        <f t="shared" si="0"/>
        <v>1</v>
      </c>
      <c r="I8" t="s">
        <v>358</v>
      </c>
      <c r="J8" t="s">
        <v>338</v>
      </c>
      <c r="K8" t="s">
        <v>519</v>
      </c>
      <c r="L8">
        <v>0</v>
      </c>
    </row>
    <row r="9" spans="1:27" x14ac:dyDescent="0.25">
      <c r="D9" s="3" t="s">
        <v>359</v>
      </c>
      <c r="E9" t="s">
        <v>360</v>
      </c>
      <c r="F9" s="22">
        <v>9</v>
      </c>
      <c r="G9" s="22">
        <v>14</v>
      </c>
      <c r="H9">
        <f t="shared" si="0"/>
        <v>6</v>
      </c>
      <c r="I9" t="s">
        <v>361</v>
      </c>
      <c r="K9" s="1" t="s">
        <v>1</v>
      </c>
      <c r="L9">
        <v>0</v>
      </c>
    </row>
    <row r="10" spans="1:27" x14ac:dyDescent="0.25">
      <c r="D10" s="3" t="s">
        <v>362</v>
      </c>
      <c r="E10" t="s">
        <v>363</v>
      </c>
      <c r="F10" s="22">
        <v>15</v>
      </c>
      <c r="G10" s="22">
        <v>17</v>
      </c>
      <c r="H10">
        <f t="shared" si="0"/>
        <v>3</v>
      </c>
      <c r="I10" t="s">
        <v>347</v>
      </c>
      <c r="J10" t="s">
        <v>2</v>
      </c>
      <c r="K10" s="1" t="s">
        <v>2</v>
      </c>
      <c r="L10">
        <v>0</v>
      </c>
    </row>
    <row r="11" spans="1:27" x14ac:dyDescent="0.25">
      <c r="D11" s="3" t="s">
        <v>364</v>
      </c>
      <c r="E11" t="s">
        <v>365</v>
      </c>
      <c r="F11" s="22">
        <v>18</v>
      </c>
      <c r="G11" s="22">
        <v>18</v>
      </c>
      <c r="H11">
        <f t="shared" si="0"/>
        <v>1</v>
      </c>
      <c r="I11" t="s">
        <v>358</v>
      </c>
      <c r="J11" t="s">
        <v>366</v>
      </c>
      <c r="K11" s="27">
        <v>2</v>
      </c>
      <c r="L11">
        <v>0</v>
      </c>
    </row>
    <row r="12" spans="1:27" x14ac:dyDescent="0.25">
      <c r="D12" s="3" t="s">
        <v>367</v>
      </c>
      <c r="E12" t="s">
        <v>368</v>
      </c>
      <c r="F12" s="22">
        <v>19</v>
      </c>
      <c r="G12" s="22">
        <v>32</v>
      </c>
      <c r="H12">
        <f t="shared" si="0"/>
        <v>14</v>
      </c>
      <c r="I12" t="s">
        <v>369</v>
      </c>
      <c r="J12" t="s">
        <v>370</v>
      </c>
      <c r="K12" t="s">
        <v>4</v>
      </c>
      <c r="L12">
        <v>1</v>
      </c>
    </row>
    <row r="13" spans="1:27" x14ac:dyDescent="0.25">
      <c r="D13" s="3" t="s">
        <v>359</v>
      </c>
      <c r="E13" t="s">
        <v>360</v>
      </c>
      <c r="F13" s="22">
        <v>33</v>
      </c>
      <c r="G13" s="22">
        <v>52</v>
      </c>
      <c r="H13">
        <f t="shared" si="0"/>
        <v>20</v>
      </c>
      <c r="I13" t="s">
        <v>371</v>
      </c>
      <c r="K13" t="s">
        <v>5</v>
      </c>
      <c r="L13">
        <v>0</v>
      </c>
    </row>
    <row r="14" spans="1:27" x14ac:dyDescent="0.25">
      <c r="D14" s="3" t="s">
        <v>326</v>
      </c>
      <c r="E14" t="s">
        <v>372</v>
      </c>
      <c r="F14" s="22">
        <v>53</v>
      </c>
      <c r="G14" s="22">
        <v>57</v>
      </c>
      <c r="H14">
        <f t="shared" si="0"/>
        <v>5</v>
      </c>
      <c r="I14" t="s">
        <v>373</v>
      </c>
      <c r="J14" t="s">
        <v>370</v>
      </c>
      <c r="K14" t="s">
        <v>326</v>
      </c>
      <c r="L14">
        <v>1</v>
      </c>
    </row>
    <row r="15" spans="1:27" x14ac:dyDescent="0.25">
      <c r="D15" s="3" t="s">
        <v>359</v>
      </c>
      <c r="E15" t="s">
        <v>360</v>
      </c>
      <c r="F15" s="22">
        <v>58</v>
      </c>
      <c r="G15" s="22">
        <v>58</v>
      </c>
      <c r="H15">
        <f t="shared" si="0"/>
        <v>1</v>
      </c>
      <c r="I15" t="s">
        <v>374</v>
      </c>
      <c r="K15" t="s">
        <v>7</v>
      </c>
      <c r="L15">
        <v>0</v>
      </c>
    </row>
    <row r="16" spans="1:27" x14ac:dyDescent="0.25">
      <c r="D16" s="3" t="s">
        <v>8</v>
      </c>
      <c r="E16" t="s">
        <v>375</v>
      </c>
      <c r="F16" s="22">
        <v>59</v>
      </c>
      <c r="G16" s="22">
        <v>70</v>
      </c>
      <c r="H16">
        <f t="shared" si="0"/>
        <v>12</v>
      </c>
      <c r="I16" t="s">
        <v>376</v>
      </c>
      <c r="J16" t="s">
        <v>370</v>
      </c>
      <c r="K16" t="s">
        <v>8</v>
      </c>
      <c r="L16">
        <v>1</v>
      </c>
    </row>
    <row r="17" spans="2:12" x14ac:dyDescent="0.25">
      <c r="D17" s="3" t="s">
        <v>359</v>
      </c>
      <c r="E17" t="s">
        <v>360</v>
      </c>
      <c r="F17" s="22">
        <v>71</v>
      </c>
      <c r="G17" s="22">
        <v>71</v>
      </c>
      <c r="H17">
        <f t="shared" si="0"/>
        <v>1</v>
      </c>
      <c r="I17" t="s">
        <v>374</v>
      </c>
      <c r="K17" t="s">
        <v>7</v>
      </c>
      <c r="L17">
        <v>0</v>
      </c>
    </row>
    <row r="18" spans="2:12" x14ac:dyDescent="0.25">
      <c r="D18" s="3" t="s">
        <v>9</v>
      </c>
      <c r="E18" t="s">
        <v>377</v>
      </c>
      <c r="F18" s="22">
        <v>72</v>
      </c>
      <c r="G18" s="22">
        <v>72</v>
      </c>
      <c r="H18">
        <f t="shared" si="0"/>
        <v>1</v>
      </c>
      <c r="I18" t="s">
        <v>358</v>
      </c>
      <c r="J18" t="s">
        <v>370</v>
      </c>
      <c r="K18" t="s">
        <v>522</v>
      </c>
      <c r="L18">
        <v>1</v>
      </c>
    </row>
    <row r="19" spans="2:12" x14ac:dyDescent="0.25">
      <c r="D19" s="3" t="s">
        <v>10</v>
      </c>
      <c r="E19" t="s">
        <v>10</v>
      </c>
      <c r="F19" s="22">
        <v>73</v>
      </c>
      <c r="G19" s="22">
        <v>102</v>
      </c>
      <c r="H19">
        <f t="shared" si="0"/>
        <v>30</v>
      </c>
      <c r="I19" t="s">
        <v>348</v>
      </c>
      <c r="K19" t="s">
        <v>523</v>
      </c>
      <c r="L19">
        <v>1</v>
      </c>
    </row>
    <row r="20" spans="2:12" x14ac:dyDescent="0.25">
      <c r="D20" s="3" t="s">
        <v>14</v>
      </c>
      <c r="E20" t="s">
        <v>14</v>
      </c>
      <c r="F20" s="22">
        <v>103</v>
      </c>
      <c r="G20" s="22">
        <v>132</v>
      </c>
      <c r="H20">
        <f t="shared" si="0"/>
        <v>30</v>
      </c>
      <c r="I20" t="s">
        <v>348</v>
      </c>
      <c r="K20" t="s">
        <v>327</v>
      </c>
      <c r="L20">
        <v>0</v>
      </c>
    </row>
    <row r="21" spans="2:12" x14ac:dyDescent="0.25">
      <c r="D21" s="3" t="s">
        <v>359</v>
      </c>
      <c r="E21" t="s">
        <v>360</v>
      </c>
      <c r="F21" s="22">
        <v>133</v>
      </c>
      <c r="G21" s="22">
        <v>142</v>
      </c>
      <c r="H21">
        <f t="shared" si="0"/>
        <v>10</v>
      </c>
      <c r="I21" t="s">
        <v>378</v>
      </c>
      <c r="K21" t="s">
        <v>12</v>
      </c>
      <c r="L21">
        <v>0</v>
      </c>
    </row>
    <row r="22" spans="2:12" x14ac:dyDescent="0.25">
      <c r="D22" s="3" t="s">
        <v>379</v>
      </c>
      <c r="E22" t="s">
        <v>380</v>
      </c>
      <c r="F22" s="22">
        <v>143</v>
      </c>
      <c r="G22" s="22">
        <v>143</v>
      </c>
      <c r="H22">
        <f t="shared" si="0"/>
        <v>1</v>
      </c>
      <c r="I22" t="s">
        <v>358</v>
      </c>
      <c r="J22" t="s">
        <v>381</v>
      </c>
      <c r="K22">
        <v>1</v>
      </c>
      <c r="L22">
        <v>0</v>
      </c>
    </row>
    <row r="23" spans="2:12" x14ac:dyDescent="0.25">
      <c r="D23" s="3" t="s">
        <v>15</v>
      </c>
      <c r="E23" t="s">
        <v>390</v>
      </c>
      <c r="F23" s="22">
        <v>144</v>
      </c>
      <c r="G23" s="22">
        <v>151</v>
      </c>
      <c r="H23">
        <f t="shared" si="0"/>
        <v>8</v>
      </c>
      <c r="I23" t="s">
        <v>349</v>
      </c>
      <c r="J23" t="s">
        <v>17</v>
      </c>
      <c r="K23" t="s">
        <v>524</v>
      </c>
      <c r="L23">
        <v>1</v>
      </c>
    </row>
    <row r="24" spans="2:12" x14ac:dyDescent="0.25">
      <c r="D24" s="3" t="s">
        <v>389</v>
      </c>
      <c r="E24" t="s">
        <v>388</v>
      </c>
      <c r="F24" s="22">
        <v>152</v>
      </c>
      <c r="G24" s="22">
        <v>157</v>
      </c>
      <c r="H24">
        <f t="shared" si="0"/>
        <v>6</v>
      </c>
      <c r="I24" t="s">
        <v>382</v>
      </c>
      <c r="J24" t="s">
        <v>18</v>
      </c>
      <c r="K24" t="s">
        <v>525</v>
      </c>
      <c r="L24">
        <v>1</v>
      </c>
    </row>
    <row r="25" spans="2:12" x14ac:dyDescent="0.25">
      <c r="D25" s="3" t="s">
        <v>19</v>
      </c>
      <c r="E25" t="s">
        <v>360</v>
      </c>
      <c r="F25" s="22">
        <v>158</v>
      </c>
      <c r="G25" s="22">
        <v>166</v>
      </c>
      <c r="H25">
        <f t="shared" si="0"/>
        <v>9</v>
      </c>
      <c r="I25" t="s">
        <v>383</v>
      </c>
      <c r="K25" t="s">
        <v>526</v>
      </c>
      <c r="L25">
        <v>0</v>
      </c>
    </row>
    <row r="26" spans="2:12" x14ac:dyDescent="0.25">
      <c r="D26" s="3" t="s">
        <v>384</v>
      </c>
      <c r="E26" t="s">
        <v>385</v>
      </c>
      <c r="F26" s="22">
        <v>167</v>
      </c>
      <c r="G26" s="22">
        <v>171</v>
      </c>
      <c r="H26">
        <f t="shared" si="0"/>
        <v>5</v>
      </c>
      <c r="I26" t="s">
        <v>373</v>
      </c>
      <c r="J26" t="s">
        <v>386</v>
      </c>
      <c r="K26" t="s">
        <v>0</v>
      </c>
      <c r="L26">
        <v>0</v>
      </c>
    </row>
    <row r="27" spans="2:12" x14ac:dyDescent="0.25">
      <c r="B27" s="45" t="s">
        <v>549</v>
      </c>
      <c r="C27" s="24" t="s">
        <v>471</v>
      </c>
      <c r="D27" s="3" t="s">
        <v>359</v>
      </c>
      <c r="E27" t="s">
        <v>360</v>
      </c>
      <c r="F27" s="22">
        <v>172</v>
      </c>
      <c r="G27" s="22">
        <v>240</v>
      </c>
      <c r="H27">
        <f t="shared" si="0"/>
        <v>69</v>
      </c>
      <c r="I27" t="s">
        <v>387</v>
      </c>
      <c r="K27" t="s">
        <v>20</v>
      </c>
      <c r="L27">
        <v>0</v>
      </c>
    </row>
    <row r="28" spans="2:12" x14ac:dyDescent="0.25">
      <c r="B28" s="45"/>
      <c r="C28" s="24">
        <v>28</v>
      </c>
      <c r="D28" s="24" t="s">
        <v>391</v>
      </c>
      <c r="E28" s="24" t="s">
        <v>392</v>
      </c>
      <c r="F28" s="24" t="s">
        <v>393</v>
      </c>
      <c r="G28" s="24" t="s">
        <v>394</v>
      </c>
      <c r="H28" s="24" t="s">
        <v>23</v>
      </c>
      <c r="I28" s="24" t="s">
        <v>395</v>
      </c>
      <c r="J28" s="24" t="s">
        <v>22</v>
      </c>
      <c r="K28" s="24" t="s">
        <v>516</v>
      </c>
      <c r="L28" s="24" t="s">
        <v>21</v>
      </c>
    </row>
    <row r="29" spans="2:12" x14ac:dyDescent="0.25">
      <c r="D29" t="s">
        <v>350</v>
      </c>
      <c r="E29" t="s">
        <v>396</v>
      </c>
      <c r="F29">
        <v>1</v>
      </c>
      <c r="G29">
        <v>3</v>
      </c>
      <c r="H29">
        <f t="shared" ref="H29:H56" si="1">G29-F29+1</f>
        <v>3</v>
      </c>
      <c r="I29" t="s">
        <v>347</v>
      </c>
      <c r="J29" t="s">
        <v>3</v>
      </c>
      <c r="K29">
        <v>341</v>
      </c>
      <c r="L29">
        <v>0</v>
      </c>
    </row>
    <row r="30" spans="2:12" x14ac:dyDescent="0.25">
      <c r="D30" t="s">
        <v>352</v>
      </c>
      <c r="E30" t="s">
        <v>472</v>
      </c>
      <c r="F30">
        <v>4</v>
      </c>
      <c r="G30">
        <v>7</v>
      </c>
      <c r="H30">
        <f t="shared" si="1"/>
        <v>4</v>
      </c>
      <c r="I30" t="s">
        <v>354</v>
      </c>
      <c r="J30" t="s">
        <v>397</v>
      </c>
      <c r="K30" t="s">
        <v>331</v>
      </c>
      <c r="L30">
        <v>0</v>
      </c>
    </row>
    <row r="31" spans="2:12" x14ac:dyDescent="0.25">
      <c r="D31" t="s">
        <v>356</v>
      </c>
      <c r="E31" t="s">
        <v>473</v>
      </c>
      <c r="F31">
        <v>8</v>
      </c>
      <c r="G31">
        <v>8</v>
      </c>
      <c r="H31">
        <f t="shared" si="1"/>
        <v>1</v>
      </c>
      <c r="I31" t="s">
        <v>358</v>
      </c>
      <c r="J31" t="s">
        <v>13</v>
      </c>
      <c r="K31">
        <v>1</v>
      </c>
      <c r="L31">
        <v>0</v>
      </c>
    </row>
    <row r="32" spans="2:12" x14ac:dyDescent="0.25">
      <c r="D32" t="s">
        <v>474</v>
      </c>
      <c r="E32" t="s">
        <v>475</v>
      </c>
      <c r="F32">
        <v>9</v>
      </c>
      <c r="G32">
        <v>9</v>
      </c>
      <c r="H32">
        <f t="shared" si="1"/>
        <v>1</v>
      </c>
      <c r="I32" t="s">
        <v>374</v>
      </c>
      <c r="J32" t="s">
        <v>476</v>
      </c>
      <c r="K32" t="s">
        <v>25</v>
      </c>
      <c r="L32">
        <v>0</v>
      </c>
    </row>
    <row r="33" spans="4:12" x14ac:dyDescent="0.25">
      <c r="D33" t="s">
        <v>477</v>
      </c>
      <c r="E33" t="s">
        <v>478</v>
      </c>
      <c r="F33">
        <v>10</v>
      </c>
      <c r="G33">
        <v>11</v>
      </c>
      <c r="H33">
        <f t="shared" si="1"/>
        <v>2</v>
      </c>
      <c r="I33" t="s">
        <v>479</v>
      </c>
      <c r="J33" t="s">
        <v>480</v>
      </c>
      <c r="K33" t="s">
        <v>344</v>
      </c>
      <c r="L33">
        <v>1</v>
      </c>
    </row>
    <row r="34" spans="4:12" x14ac:dyDescent="0.25">
      <c r="D34" t="s">
        <v>481</v>
      </c>
      <c r="E34" t="s">
        <v>481</v>
      </c>
      <c r="F34">
        <v>12</v>
      </c>
      <c r="G34">
        <v>13</v>
      </c>
      <c r="H34">
        <f t="shared" si="1"/>
        <v>2</v>
      </c>
      <c r="I34" t="s">
        <v>479</v>
      </c>
      <c r="J34" t="s">
        <v>482</v>
      </c>
      <c r="K34" t="s">
        <v>345</v>
      </c>
      <c r="L34">
        <v>1</v>
      </c>
    </row>
    <row r="35" spans="4:12" x14ac:dyDescent="0.25">
      <c r="D35" t="s">
        <v>483</v>
      </c>
      <c r="E35" t="s">
        <v>484</v>
      </c>
      <c r="F35">
        <v>14</v>
      </c>
      <c r="G35">
        <v>16</v>
      </c>
      <c r="H35">
        <f t="shared" si="1"/>
        <v>3</v>
      </c>
      <c r="I35" t="s">
        <v>347</v>
      </c>
      <c r="J35" t="s">
        <v>62</v>
      </c>
      <c r="K35" s="1" t="s">
        <v>62</v>
      </c>
      <c r="L35">
        <v>0</v>
      </c>
    </row>
    <row r="36" spans="4:12" x14ac:dyDescent="0.25">
      <c r="D36" t="s">
        <v>359</v>
      </c>
      <c r="E36" t="s">
        <v>360</v>
      </c>
      <c r="F36">
        <v>17</v>
      </c>
      <c r="G36">
        <v>17</v>
      </c>
      <c r="H36">
        <f t="shared" si="1"/>
        <v>1</v>
      </c>
      <c r="I36" t="s">
        <v>374</v>
      </c>
      <c r="K36" t="s">
        <v>7</v>
      </c>
      <c r="L36">
        <v>0</v>
      </c>
    </row>
    <row r="37" spans="4:12" x14ac:dyDescent="0.25">
      <c r="D37" t="s">
        <v>364</v>
      </c>
      <c r="E37" t="s">
        <v>485</v>
      </c>
      <c r="F37">
        <v>18</v>
      </c>
      <c r="G37">
        <v>18</v>
      </c>
      <c r="H37">
        <f t="shared" si="1"/>
        <v>1</v>
      </c>
      <c r="I37" t="s">
        <v>358</v>
      </c>
      <c r="J37" t="s">
        <v>486</v>
      </c>
      <c r="K37">
        <v>2</v>
      </c>
      <c r="L37">
        <v>0</v>
      </c>
    </row>
    <row r="38" spans="4:12" x14ac:dyDescent="0.25">
      <c r="D38" t="s">
        <v>367</v>
      </c>
      <c r="E38" t="s">
        <v>368</v>
      </c>
      <c r="F38">
        <v>19</v>
      </c>
      <c r="G38">
        <v>32</v>
      </c>
      <c r="H38">
        <f t="shared" si="1"/>
        <v>14</v>
      </c>
      <c r="I38" t="s">
        <v>369</v>
      </c>
      <c r="J38" t="s">
        <v>370</v>
      </c>
      <c r="K38" t="s">
        <v>4</v>
      </c>
      <c r="L38">
        <v>1</v>
      </c>
    </row>
    <row r="39" spans="4:12" x14ac:dyDescent="0.25">
      <c r="D39" t="s">
        <v>487</v>
      </c>
      <c r="E39" t="s">
        <v>488</v>
      </c>
      <c r="F39">
        <v>33</v>
      </c>
      <c r="G39">
        <v>36</v>
      </c>
      <c r="H39">
        <f t="shared" si="1"/>
        <v>4</v>
      </c>
      <c r="I39" t="s">
        <v>489</v>
      </c>
      <c r="J39" t="s">
        <v>438</v>
      </c>
      <c r="K39" t="s">
        <v>63</v>
      </c>
      <c r="L39">
        <v>0</v>
      </c>
    </row>
    <row r="40" spans="4:12" x14ac:dyDescent="0.25">
      <c r="D40" t="s">
        <v>359</v>
      </c>
      <c r="E40" t="s">
        <v>360</v>
      </c>
      <c r="F40">
        <v>37</v>
      </c>
      <c r="G40">
        <v>52</v>
      </c>
      <c r="H40">
        <f t="shared" si="1"/>
        <v>16</v>
      </c>
      <c r="I40" t="s">
        <v>490</v>
      </c>
      <c r="K40" t="s">
        <v>527</v>
      </c>
      <c r="L40">
        <v>0</v>
      </c>
    </row>
    <row r="41" spans="4:12" x14ac:dyDescent="0.25">
      <c r="D41" t="s">
        <v>326</v>
      </c>
      <c r="E41" t="s">
        <v>372</v>
      </c>
      <c r="F41">
        <v>53</v>
      </c>
      <c r="G41">
        <v>57</v>
      </c>
      <c r="H41">
        <f t="shared" si="1"/>
        <v>5</v>
      </c>
      <c r="I41" t="s">
        <v>373</v>
      </c>
      <c r="J41" t="s">
        <v>370</v>
      </c>
      <c r="K41" t="s">
        <v>326</v>
      </c>
      <c r="L41">
        <v>1</v>
      </c>
    </row>
    <row r="42" spans="4:12" x14ac:dyDescent="0.25">
      <c r="D42" t="s">
        <v>359</v>
      </c>
      <c r="E42" t="s">
        <v>360</v>
      </c>
      <c r="F42">
        <v>58</v>
      </c>
      <c r="G42">
        <v>58</v>
      </c>
      <c r="H42">
        <f t="shared" si="1"/>
        <v>1</v>
      </c>
      <c r="I42" t="s">
        <v>374</v>
      </c>
      <c r="K42" t="s">
        <v>7</v>
      </c>
      <c r="L42">
        <v>0</v>
      </c>
    </row>
    <row r="43" spans="4:12" x14ac:dyDescent="0.25">
      <c r="D43" t="s">
        <v>8</v>
      </c>
      <c r="E43" t="s">
        <v>375</v>
      </c>
      <c r="F43">
        <v>59</v>
      </c>
      <c r="G43">
        <v>70</v>
      </c>
      <c r="H43">
        <f t="shared" si="1"/>
        <v>12</v>
      </c>
      <c r="I43" t="s">
        <v>376</v>
      </c>
      <c r="J43" t="s">
        <v>370</v>
      </c>
      <c r="K43" t="s">
        <v>8</v>
      </c>
      <c r="L43">
        <v>1</v>
      </c>
    </row>
    <row r="44" spans="4:12" x14ac:dyDescent="0.25">
      <c r="D44" t="s">
        <v>359</v>
      </c>
      <c r="E44" t="s">
        <v>360</v>
      </c>
      <c r="F44">
        <v>71</v>
      </c>
      <c r="G44">
        <v>71</v>
      </c>
      <c r="H44">
        <f t="shared" si="1"/>
        <v>1</v>
      </c>
      <c r="I44" t="s">
        <v>374</v>
      </c>
      <c r="K44" t="s">
        <v>7</v>
      </c>
      <c r="L44">
        <v>0</v>
      </c>
    </row>
    <row r="45" spans="4:12" x14ac:dyDescent="0.25">
      <c r="D45" t="s">
        <v>9</v>
      </c>
      <c r="E45" t="s">
        <v>377</v>
      </c>
      <c r="F45">
        <v>72</v>
      </c>
      <c r="G45">
        <v>72</v>
      </c>
      <c r="H45">
        <f t="shared" si="1"/>
        <v>1</v>
      </c>
      <c r="I45" t="s">
        <v>358</v>
      </c>
      <c r="J45" t="s">
        <v>370</v>
      </c>
      <c r="K45" t="s">
        <v>9</v>
      </c>
      <c r="L45">
        <v>1</v>
      </c>
    </row>
    <row r="46" spans="4:12" x14ac:dyDescent="0.25">
      <c r="D46" t="s">
        <v>10</v>
      </c>
      <c r="E46" t="s">
        <v>491</v>
      </c>
      <c r="F46">
        <v>73</v>
      </c>
      <c r="G46">
        <v>102</v>
      </c>
      <c r="H46">
        <f t="shared" si="1"/>
        <v>30</v>
      </c>
      <c r="I46" t="s">
        <v>348</v>
      </c>
      <c r="K46" t="s">
        <v>523</v>
      </c>
      <c r="L46">
        <v>1</v>
      </c>
    </row>
    <row r="47" spans="4:12" x14ac:dyDescent="0.25">
      <c r="D47" t="s">
        <v>492</v>
      </c>
      <c r="E47" t="s">
        <v>493</v>
      </c>
      <c r="F47">
        <v>103</v>
      </c>
      <c r="G47">
        <v>132</v>
      </c>
      <c r="H47">
        <f t="shared" si="1"/>
        <v>30</v>
      </c>
      <c r="I47" t="s">
        <v>348</v>
      </c>
      <c r="J47" t="s">
        <v>494</v>
      </c>
      <c r="K47" t="s">
        <v>64</v>
      </c>
      <c r="L47">
        <v>1</v>
      </c>
    </row>
    <row r="48" spans="4:12" x14ac:dyDescent="0.25">
      <c r="D48" t="s">
        <v>495</v>
      </c>
      <c r="E48" t="s">
        <v>496</v>
      </c>
      <c r="F48">
        <v>133</v>
      </c>
      <c r="G48">
        <v>142</v>
      </c>
      <c r="H48">
        <f t="shared" si="1"/>
        <v>10</v>
      </c>
      <c r="I48" t="s">
        <v>378</v>
      </c>
      <c r="J48" t="s">
        <v>497</v>
      </c>
      <c r="K48" t="s">
        <v>12</v>
      </c>
      <c r="L48">
        <v>0</v>
      </c>
    </row>
    <row r="49" spans="2:12" x14ac:dyDescent="0.25">
      <c r="D49" t="s">
        <v>498</v>
      </c>
      <c r="E49" t="s">
        <v>499</v>
      </c>
      <c r="F49">
        <v>143</v>
      </c>
      <c r="G49">
        <v>172</v>
      </c>
      <c r="H49">
        <f t="shared" si="1"/>
        <v>30</v>
      </c>
      <c r="I49" t="s">
        <v>348</v>
      </c>
      <c r="K49" t="s">
        <v>64</v>
      </c>
      <c r="L49">
        <v>0</v>
      </c>
    </row>
    <row r="50" spans="2:12" x14ac:dyDescent="0.25">
      <c r="D50" t="s">
        <v>500</v>
      </c>
      <c r="E50" t="s">
        <v>501</v>
      </c>
      <c r="F50">
        <v>173</v>
      </c>
      <c r="G50">
        <v>177</v>
      </c>
      <c r="H50">
        <f t="shared" si="1"/>
        <v>5</v>
      </c>
      <c r="I50" t="s">
        <v>373</v>
      </c>
      <c r="K50" t="s">
        <v>0</v>
      </c>
      <c r="L50">
        <v>1</v>
      </c>
    </row>
    <row r="51" spans="2:12" x14ac:dyDescent="0.25">
      <c r="D51" t="s">
        <v>502</v>
      </c>
      <c r="E51" t="s">
        <v>503</v>
      </c>
      <c r="F51">
        <v>178</v>
      </c>
      <c r="G51">
        <v>192</v>
      </c>
      <c r="H51">
        <f t="shared" si="1"/>
        <v>15</v>
      </c>
      <c r="I51" t="s">
        <v>430</v>
      </c>
      <c r="K51" t="s">
        <v>75</v>
      </c>
      <c r="L51">
        <v>0</v>
      </c>
    </row>
    <row r="52" spans="2:12" x14ac:dyDescent="0.25">
      <c r="D52" t="s">
        <v>504</v>
      </c>
      <c r="E52" t="s">
        <v>505</v>
      </c>
      <c r="F52">
        <v>193</v>
      </c>
      <c r="G52">
        <v>212</v>
      </c>
      <c r="H52">
        <f t="shared" si="1"/>
        <v>20</v>
      </c>
      <c r="I52" t="s">
        <v>371</v>
      </c>
      <c r="K52" t="s">
        <v>5</v>
      </c>
      <c r="L52">
        <v>0</v>
      </c>
    </row>
    <row r="53" spans="2:12" x14ac:dyDescent="0.25">
      <c r="D53" t="s">
        <v>506</v>
      </c>
      <c r="E53" t="s">
        <v>506</v>
      </c>
      <c r="F53">
        <v>213</v>
      </c>
      <c r="G53">
        <v>220</v>
      </c>
      <c r="H53">
        <f t="shared" si="1"/>
        <v>8</v>
      </c>
      <c r="I53" t="s">
        <v>349</v>
      </c>
      <c r="K53" t="s">
        <v>520</v>
      </c>
      <c r="L53">
        <v>0</v>
      </c>
    </row>
    <row r="54" spans="2:12" x14ac:dyDescent="0.25">
      <c r="D54" t="s">
        <v>507</v>
      </c>
      <c r="E54" t="s">
        <v>508</v>
      </c>
      <c r="F54">
        <v>221</v>
      </c>
      <c r="G54">
        <v>222</v>
      </c>
      <c r="H54">
        <f t="shared" si="1"/>
        <v>2</v>
      </c>
      <c r="I54" t="s">
        <v>447</v>
      </c>
      <c r="K54" t="s">
        <v>528</v>
      </c>
      <c r="L54">
        <v>1</v>
      </c>
    </row>
    <row r="55" spans="2:12" x14ac:dyDescent="0.25">
      <c r="D55" t="s">
        <v>359</v>
      </c>
      <c r="E55" t="s">
        <v>360</v>
      </c>
      <c r="F55">
        <v>223</v>
      </c>
      <c r="G55">
        <v>230</v>
      </c>
      <c r="H55">
        <f t="shared" si="1"/>
        <v>8</v>
      </c>
      <c r="I55" t="s">
        <v>424</v>
      </c>
      <c r="K55" t="s">
        <v>65</v>
      </c>
      <c r="L55">
        <v>0</v>
      </c>
    </row>
    <row r="56" spans="2:12" x14ac:dyDescent="0.25">
      <c r="B56" s="45" t="s">
        <v>550</v>
      </c>
      <c r="C56" s="24" t="s">
        <v>466</v>
      </c>
      <c r="D56" t="s">
        <v>453</v>
      </c>
      <c r="E56" t="s">
        <v>509</v>
      </c>
      <c r="F56">
        <v>231</v>
      </c>
      <c r="G56">
        <v>240</v>
      </c>
      <c r="H56">
        <f t="shared" si="1"/>
        <v>10</v>
      </c>
      <c r="I56" t="s">
        <v>378</v>
      </c>
      <c r="J56" t="s">
        <v>455</v>
      </c>
      <c r="K56" t="s">
        <v>12</v>
      </c>
      <c r="L56">
        <v>0</v>
      </c>
    </row>
    <row r="57" spans="2:12" x14ac:dyDescent="0.25">
      <c r="B57" s="45"/>
      <c r="C57" s="24">
        <v>28</v>
      </c>
      <c r="D57" s="24" t="s">
        <v>391</v>
      </c>
      <c r="E57" s="24" t="s">
        <v>392</v>
      </c>
      <c r="F57" s="24" t="s">
        <v>393</v>
      </c>
      <c r="G57" s="24" t="s">
        <v>394</v>
      </c>
      <c r="H57" s="24" t="s">
        <v>23</v>
      </c>
      <c r="I57" s="24" t="s">
        <v>395</v>
      </c>
      <c r="J57" s="24" t="s">
        <v>22</v>
      </c>
      <c r="K57" s="24" t="s">
        <v>516</v>
      </c>
      <c r="L57" s="24" t="s">
        <v>21</v>
      </c>
    </row>
    <row r="58" spans="2:12" x14ac:dyDescent="0.25">
      <c r="D58" t="s">
        <v>350</v>
      </c>
      <c r="E58" t="s">
        <v>396</v>
      </c>
      <c r="F58" s="22">
        <v>1</v>
      </c>
      <c r="G58" s="22">
        <v>3</v>
      </c>
      <c r="H58">
        <f t="shared" ref="H58:H85" si="2">G58-F58+1</f>
        <v>3</v>
      </c>
      <c r="I58" t="s">
        <v>347</v>
      </c>
      <c r="J58" t="s">
        <v>3</v>
      </c>
      <c r="K58">
        <v>341</v>
      </c>
      <c r="L58">
        <v>0</v>
      </c>
    </row>
    <row r="59" spans="2:12" x14ac:dyDescent="0.25">
      <c r="D59" t="s">
        <v>352</v>
      </c>
      <c r="E59" t="s">
        <v>353</v>
      </c>
      <c r="F59" s="22">
        <v>4</v>
      </c>
      <c r="G59" s="22">
        <v>7</v>
      </c>
      <c r="H59">
        <f t="shared" si="2"/>
        <v>4</v>
      </c>
      <c r="I59" t="s">
        <v>354</v>
      </c>
      <c r="J59" t="s">
        <v>397</v>
      </c>
      <c r="K59" t="s">
        <v>331</v>
      </c>
      <c r="L59">
        <v>0</v>
      </c>
    </row>
    <row r="60" spans="2:12" x14ac:dyDescent="0.25">
      <c r="D60" t="s">
        <v>356</v>
      </c>
      <c r="E60" t="s">
        <v>398</v>
      </c>
      <c r="F60" s="22">
        <v>8</v>
      </c>
      <c r="G60" s="22">
        <v>8</v>
      </c>
      <c r="H60">
        <f t="shared" si="2"/>
        <v>1</v>
      </c>
      <c r="I60" t="s">
        <v>358</v>
      </c>
      <c r="J60" t="s">
        <v>66</v>
      </c>
      <c r="K60">
        <v>3</v>
      </c>
      <c r="L60">
        <v>0</v>
      </c>
    </row>
    <row r="61" spans="2:12" x14ac:dyDescent="0.25">
      <c r="D61" t="s">
        <v>399</v>
      </c>
      <c r="E61" t="s">
        <v>400</v>
      </c>
      <c r="F61" s="22">
        <v>9</v>
      </c>
      <c r="G61" s="22">
        <v>13</v>
      </c>
      <c r="H61">
        <f t="shared" si="2"/>
        <v>5</v>
      </c>
      <c r="I61" t="s">
        <v>373</v>
      </c>
      <c r="J61" t="s">
        <v>401</v>
      </c>
      <c r="K61" t="s">
        <v>529</v>
      </c>
      <c r="L61">
        <v>0</v>
      </c>
    </row>
    <row r="62" spans="2:12" x14ac:dyDescent="0.25">
      <c r="D62" t="s">
        <v>402</v>
      </c>
      <c r="E62" t="s">
        <v>403</v>
      </c>
      <c r="F62" s="22">
        <v>14</v>
      </c>
      <c r="G62" s="22">
        <v>14</v>
      </c>
      <c r="H62">
        <f t="shared" si="2"/>
        <v>1</v>
      </c>
      <c r="I62" t="s">
        <v>374</v>
      </c>
      <c r="J62" t="s">
        <v>67</v>
      </c>
      <c r="K62" t="s">
        <v>67</v>
      </c>
      <c r="L62">
        <v>0</v>
      </c>
    </row>
    <row r="63" spans="2:12" x14ac:dyDescent="0.25">
      <c r="D63" t="s">
        <v>404</v>
      </c>
      <c r="E63" t="s">
        <v>404</v>
      </c>
      <c r="F63" s="22">
        <v>15</v>
      </c>
      <c r="G63" s="22">
        <v>17</v>
      </c>
      <c r="H63">
        <f t="shared" si="2"/>
        <v>3</v>
      </c>
      <c r="I63" t="s">
        <v>347</v>
      </c>
      <c r="J63" t="s">
        <v>405</v>
      </c>
      <c r="K63" t="s">
        <v>521</v>
      </c>
      <c r="L63">
        <v>0</v>
      </c>
    </row>
    <row r="64" spans="2:12" x14ac:dyDescent="0.25">
      <c r="D64" t="s">
        <v>406</v>
      </c>
      <c r="E64" t="s">
        <v>407</v>
      </c>
      <c r="F64" s="22">
        <v>18</v>
      </c>
      <c r="G64" s="22">
        <v>20</v>
      </c>
      <c r="H64">
        <f t="shared" si="2"/>
        <v>3</v>
      </c>
      <c r="I64" t="s">
        <v>347</v>
      </c>
      <c r="J64" t="s">
        <v>408</v>
      </c>
      <c r="K64" t="s">
        <v>521</v>
      </c>
      <c r="L64">
        <v>0</v>
      </c>
    </row>
    <row r="65" spans="4:12" x14ac:dyDescent="0.25">
      <c r="D65" t="s">
        <v>70</v>
      </c>
      <c r="E65" t="s">
        <v>409</v>
      </c>
      <c r="F65" s="22">
        <v>21</v>
      </c>
      <c r="G65" s="22">
        <v>23</v>
      </c>
      <c r="H65">
        <f t="shared" si="2"/>
        <v>3</v>
      </c>
      <c r="I65" t="s">
        <v>347</v>
      </c>
      <c r="K65" t="s">
        <v>530</v>
      </c>
      <c r="L65">
        <v>1</v>
      </c>
    </row>
    <row r="66" spans="4:12" x14ac:dyDescent="0.25">
      <c r="D66" t="s">
        <v>410</v>
      </c>
      <c r="E66" t="s">
        <v>411</v>
      </c>
      <c r="F66" s="22">
        <v>24</v>
      </c>
      <c r="G66" s="22">
        <v>43</v>
      </c>
      <c r="H66">
        <f t="shared" si="2"/>
        <v>20</v>
      </c>
      <c r="I66" t="s">
        <v>371</v>
      </c>
      <c r="J66" t="s">
        <v>412</v>
      </c>
      <c r="K66" t="s">
        <v>531</v>
      </c>
      <c r="L66">
        <v>1</v>
      </c>
    </row>
    <row r="67" spans="4:12" x14ac:dyDescent="0.25">
      <c r="D67" t="s">
        <v>68</v>
      </c>
      <c r="E67" t="s">
        <v>68</v>
      </c>
      <c r="F67" s="22">
        <v>44</v>
      </c>
      <c r="G67" s="22">
        <v>73</v>
      </c>
      <c r="H67">
        <f t="shared" si="2"/>
        <v>30</v>
      </c>
      <c r="I67" t="s">
        <v>348</v>
      </c>
      <c r="J67" t="s">
        <v>413</v>
      </c>
      <c r="K67" t="s">
        <v>532</v>
      </c>
      <c r="L67">
        <v>1</v>
      </c>
    </row>
    <row r="68" spans="4:12" x14ac:dyDescent="0.25">
      <c r="D68" t="s">
        <v>414</v>
      </c>
      <c r="E68" t="s">
        <v>415</v>
      </c>
      <c r="F68" s="22">
        <v>74</v>
      </c>
      <c r="G68" s="22">
        <v>93</v>
      </c>
      <c r="H68">
        <f t="shared" si="2"/>
        <v>20</v>
      </c>
      <c r="I68" t="s">
        <v>371</v>
      </c>
      <c r="K68" t="s">
        <v>332</v>
      </c>
      <c r="L68">
        <v>1</v>
      </c>
    </row>
    <row r="69" spans="4:12" x14ac:dyDescent="0.25">
      <c r="D69" t="s">
        <v>416</v>
      </c>
      <c r="E69" t="s">
        <v>417</v>
      </c>
      <c r="F69" s="22">
        <v>94</v>
      </c>
      <c r="G69" s="22">
        <v>101</v>
      </c>
      <c r="H69">
        <f t="shared" si="2"/>
        <v>8</v>
      </c>
      <c r="I69" t="s">
        <v>349</v>
      </c>
      <c r="J69" t="s">
        <v>17</v>
      </c>
      <c r="K69" t="s">
        <v>533</v>
      </c>
      <c r="L69">
        <v>1</v>
      </c>
    </row>
    <row r="70" spans="4:12" x14ac:dyDescent="0.25">
      <c r="D70" t="s">
        <v>418</v>
      </c>
      <c r="E70" t="s">
        <v>419</v>
      </c>
      <c r="F70" s="22">
        <v>102</v>
      </c>
      <c r="G70" s="22">
        <v>104</v>
      </c>
      <c r="H70">
        <f t="shared" si="2"/>
        <v>3</v>
      </c>
      <c r="I70" t="s">
        <v>420</v>
      </c>
      <c r="J70" t="s">
        <v>421</v>
      </c>
      <c r="K70" s="1" t="s">
        <v>72</v>
      </c>
      <c r="L70">
        <v>0</v>
      </c>
    </row>
    <row r="71" spans="4:12" x14ac:dyDescent="0.25">
      <c r="D71" t="s">
        <v>422</v>
      </c>
      <c r="E71" t="s">
        <v>423</v>
      </c>
      <c r="F71" s="22">
        <v>105</v>
      </c>
      <c r="G71" s="22">
        <v>112</v>
      </c>
      <c r="H71">
        <f t="shared" si="2"/>
        <v>8</v>
      </c>
      <c r="I71" t="s">
        <v>424</v>
      </c>
      <c r="J71" t="s">
        <v>408</v>
      </c>
      <c r="K71" t="s">
        <v>65</v>
      </c>
      <c r="L71">
        <v>0</v>
      </c>
    </row>
    <row r="72" spans="4:12" x14ac:dyDescent="0.25">
      <c r="D72" t="s">
        <v>19</v>
      </c>
      <c r="E72" t="s">
        <v>360</v>
      </c>
      <c r="F72" s="22">
        <v>113</v>
      </c>
      <c r="G72" s="22">
        <v>119</v>
      </c>
      <c r="H72">
        <f t="shared" si="2"/>
        <v>7</v>
      </c>
      <c r="I72" t="s">
        <v>425</v>
      </c>
      <c r="K72" t="s">
        <v>73</v>
      </c>
      <c r="L72">
        <v>0</v>
      </c>
    </row>
    <row r="73" spans="4:12" x14ac:dyDescent="0.25">
      <c r="D73" t="s">
        <v>426</v>
      </c>
      <c r="E73" t="s">
        <v>427</v>
      </c>
      <c r="F73" s="22">
        <v>120</v>
      </c>
      <c r="G73" s="22">
        <v>134</v>
      </c>
      <c r="H73">
        <f t="shared" si="2"/>
        <v>15</v>
      </c>
      <c r="I73" t="s">
        <v>74</v>
      </c>
      <c r="K73" t="s">
        <v>534</v>
      </c>
      <c r="L73">
        <v>1</v>
      </c>
    </row>
    <row r="74" spans="4:12" x14ac:dyDescent="0.25">
      <c r="D74" t="s">
        <v>428</v>
      </c>
      <c r="E74" t="s">
        <v>429</v>
      </c>
      <c r="F74" s="22">
        <v>135</v>
      </c>
      <c r="G74" s="22">
        <v>149</v>
      </c>
      <c r="H74">
        <f t="shared" si="2"/>
        <v>15</v>
      </c>
      <c r="I74" t="s">
        <v>430</v>
      </c>
      <c r="J74" t="s">
        <v>431</v>
      </c>
      <c r="K74" t="s">
        <v>75</v>
      </c>
      <c r="L74">
        <v>0</v>
      </c>
    </row>
    <row r="75" spans="4:12" x14ac:dyDescent="0.25">
      <c r="D75" t="s">
        <v>359</v>
      </c>
      <c r="E75" t="s">
        <v>360</v>
      </c>
      <c r="F75" s="22">
        <v>150</v>
      </c>
      <c r="G75" s="22">
        <v>154</v>
      </c>
      <c r="H75">
        <f t="shared" si="2"/>
        <v>5</v>
      </c>
      <c r="I75" t="s">
        <v>432</v>
      </c>
      <c r="K75" t="s">
        <v>76</v>
      </c>
      <c r="L75">
        <v>0</v>
      </c>
    </row>
    <row r="76" spans="4:12" x14ac:dyDescent="0.25">
      <c r="D76" t="s">
        <v>433</v>
      </c>
      <c r="E76" t="s">
        <v>434</v>
      </c>
      <c r="F76" s="22">
        <v>155</v>
      </c>
      <c r="G76" s="22">
        <v>162</v>
      </c>
      <c r="H76">
        <f t="shared" si="2"/>
        <v>8</v>
      </c>
      <c r="I76" t="s">
        <v>349</v>
      </c>
      <c r="J76" t="s">
        <v>17</v>
      </c>
      <c r="K76" t="s">
        <v>535</v>
      </c>
      <c r="L76">
        <v>1</v>
      </c>
    </row>
    <row r="77" spans="4:12" x14ac:dyDescent="0.25">
      <c r="D77" t="s">
        <v>78</v>
      </c>
      <c r="E77" t="s">
        <v>435</v>
      </c>
      <c r="F77" s="22">
        <v>163</v>
      </c>
      <c r="G77" s="22">
        <v>177</v>
      </c>
      <c r="H77">
        <f t="shared" si="2"/>
        <v>15</v>
      </c>
      <c r="I77" t="s">
        <v>74</v>
      </c>
      <c r="K77" t="s">
        <v>536</v>
      </c>
      <c r="L77">
        <v>1</v>
      </c>
    </row>
    <row r="78" spans="4:12" x14ac:dyDescent="0.25">
      <c r="D78" t="s">
        <v>436</v>
      </c>
      <c r="E78" t="s">
        <v>437</v>
      </c>
      <c r="F78" s="22">
        <v>178</v>
      </c>
      <c r="G78" s="22">
        <v>197</v>
      </c>
      <c r="H78">
        <f t="shared" si="2"/>
        <v>20</v>
      </c>
      <c r="I78" t="s">
        <v>371</v>
      </c>
      <c r="J78" t="s">
        <v>438</v>
      </c>
      <c r="K78" t="s">
        <v>5</v>
      </c>
      <c r="L78">
        <v>0</v>
      </c>
    </row>
    <row r="79" spans="4:12" x14ac:dyDescent="0.25">
      <c r="D79" t="s">
        <v>80</v>
      </c>
      <c r="E79" t="s">
        <v>439</v>
      </c>
      <c r="F79" s="22">
        <v>198</v>
      </c>
      <c r="G79" s="22">
        <v>203</v>
      </c>
      <c r="H79">
        <f t="shared" si="2"/>
        <v>6</v>
      </c>
      <c r="I79" t="s">
        <v>440</v>
      </c>
      <c r="J79" t="s">
        <v>441</v>
      </c>
      <c r="K79" t="s">
        <v>1</v>
      </c>
      <c r="L79">
        <v>0</v>
      </c>
    </row>
    <row r="80" spans="4:12" x14ac:dyDescent="0.25">
      <c r="D80" t="s">
        <v>442</v>
      </c>
      <c r="E80" t="s">
        <v>443</v>
      </c>
      <c r="F80" s="22">
        <v>204</v>
      </c>
      <c r="G80" s="22">
        <v>217</v>
      </c>
      <c r="H80">
        <f t="shared" si="2"/>
        <v>14</v>
      </c>
      <c r="I80" t="s">
        <v>369</v>
      </c>
      <c r="J80" t="s">
        <v>444</v>
      </c>
      <c r="K80" t="s">
        <v>537</v>
      </c>
      <c r="L80">
        <v>1</v>
      </c>
    </row>
    <row r="81" spans="2:12" x14ac:dyDescent="0.25">
      <c r="D81" t="s">
        <v>445</v>
      </c>
      <c r="E81" t="s">
        <v>446</v>
      </c>
      <c r="F81" s="22">
        <v>218</v>
      </c>
      <c r="G81" s="22">
        <v>219</v>
      </c>
      <c r="H81">
        <f t="shared" si="2"/>
        <v>2</v>
      </c>
      <c r="I81" t="s">
        <v>447</v>
      </c>
      <c r="J81" t="s">
        <v>448</v>
      </c>
      <c r="K81" t="s">
        <v>79</v>
      </c>
      <c r="L81">
        <v>0</v>
      </c>
    </row>
    <row r="82" spans="2:12" x14ac:dyDescent="0.25">
      <c r="D82" t="s">
        <v>82</v>
      </c>
      <c r="E82" t="s">
        <v>449</v>
      </c>
      <c r="F82" s="22">
        <v>220</v>
      </c>
      <c r="G82" s="22">
        <v>224</v>
      </c>
      <c r="H82">
        <f t="shared" si="2"/>
        <v>5</v>
      </c>
      <c r="I82" t="s">
        <v>432</v>
      </c>
      <c r="J82" t="s">
        <v>450</v>
      </c>
      <c r="K82" t="s">
        <v>76</v>
      </c>
      <c r="L82">
        <v>0</v>
      </c>
    </row>
    <row r="83" spans="2:12" x14ac:dyDescent="0.25">
      <c r="D83" t="s">
        <v>359</v>
      </c>
      <c r="E83" t="s">
        <v>360</v>
      </c>
      <c r="F83" s="22">
        <v>225</v>
      </c>
      <c r="G83" s="22">
        <v>229</v>
      </c>
      <c r="H83">
        <f t="shared" si="2"/>
        <v>5</v>
      </c>
      <c r="I83" t="s">
        <v>432</v>
      </c>
      <c r="K83" t="s">
        <v>76</v>
      </c>
      <c r="L83">
        <v>0</v>
      </c>
    </row>
    <row r="84" spans="2:12" x14ac:dyDescent="0.25">
      <c r="D84" t="s">
        <v>83</v>
      </c>
      <c r="E84" t="s">
        <v>451</v>
      </c>
      <c r="F84" s="22">
        <v>230</v>
      </c>
      <c r="G84" s="22">
        <v>230</v>
      </c>
      <c r="H84">
        <f t="shared" si="2"/>
        <v>1</v>
      </c>
      <c r="I84" t="s">
        <v>374</v>
      </c>
      <c r="J84" t="s">
        <v>452</v>
      </c>
      <c r="K84" t="s">
        <v>7</v>
      </c>
      <c r="L84">
        <v>0</v>
      </c>
    </row>
    <row r="85" spans="2:12" x14ac:dyDescent="0.25">
      <c r="B85" s="46" t="s">
        <v>551</v>
      </c>
      <c r="C85" s="24" t="s">
        <v>467</v>
      </c>
      <c r="D85" t="s">
        <v>453</v>
      </c>
      <c r="E85" t="s">
        <v>454</v>
      </c>
      <c r="F85" s="22">
        <v>231</v>
      </c>
      <c r="G85" s="22">
        <v>240</v>
      </c>
      <c r="H85">
        <f t="shared" si="2"/>
        <v>10</v>
      </c>
      <c r="I85" t="s">
        <v>378</v>
      </c>
      <c r="J85" t="s">
        <v>455</v>
      </c>
      <c r="K85" t="s">
        <v>12</v>
      </c>
      <c r="L85">
        <v>0</v>
      </c>
    </row>
    <row r="86" spans="2:12" x14ac:dyDescent="0.25">
      <c r="B86" s="46"/>
      <c r="C86" s="24">
        <v>9</v>
      </c>
      <c r="D86" s="24" t="s">
        <v>391</v>
      </c>
      <c r="E86" s="24" t="s">
        <v>392</v>
      </c>
      <c r="F86" s="24" t="s">
        <v>393</v>
      </c>
      <c r="G86" s="24" t="s">
        <v>394</v>
      </c>
      <c r="H86" s="24" t="s">
        <v>23</v>
      </c>
      <c r="I86" s="24" t="s">
        <v>395</v>
      </c>
      <c r="J86" s="24" t="s">
        <v>22</v>
      </c>
      <c r="K86" s="24" t="s">
        <v>516</v>
      </c>
      <c r="L86" s="24" t="s">
        <v>21</v>
      </c>
    </row>
    <row r="87" spans="2:12" x14ac:dyDescent="0.25">
      <c r="D87" t="s">
        <v>350</v>
      </c>
      <c r="E87" t="s">
        <v>396</v>
      </c>
      <c r="F87" s="22">
        <v>1</v>
      </c>
      <c r="G87" s="22">
        <v>3</v>
      </c>
      <c r="H87">
        <f t="shared" ref="H87:H95" si="3">G87-F87+1</f>
        <v>3</v>
      </c>
      <c r="I87" t="s">
        <v>347</v>
      </c>
      <c r="J87" t="s">
        <v>3</v>
      </c>
      <c r="K87">
        <v>341</v>
      </c>
      <c r="L87">
        <v>0</v>
      </c>
    </row>
    <row r="88" spans="2:12" x14ac:dyDescent="0.25">
      <c r="D88" t="s">
        <v>352</v>
      </c>
      <c r="E88" t="s">
        <v>353</v>
      </c>
      <c r="F88" s="22">
        <v>4</v>
      </c>
      <c r="G88" s="22">
        <v>7</v>
      </c>
      <c r="H88">
        <f t="shared" si="3"/>
        <v>4</v>
      </c>
      <c r="I88" t="s">
        <v>354</v>
      </c>
      <c r="J88" t="s">
        <v>397</v>
      </c>
      <c r="K88" t="s">
        <v>331</v>
      </c>
      <c r="L88">
        <v>0</v>
      </c>
    </row>
    <row r="89" spans="2:12" x14ac:dyDescent="0.25">
      <c r="D89" t="s">
        <v>356</v>
      </c>
      <c r="E89" t="s">
        <v>468</v>
      </c>
      <c r="F89" s="22">
        <v>8</v>
      </c>
      <c r="G89" s="22">
        <v>8</v>
      </c>
      <c r="H89">
        <f t="shared" si="3"/>
        <v>1</v>
      </c>
      <c r="I89" t="s">
        <v>358</v>
      </c>
      <c r="J89" t="s">
        <v>340</v>
      </c>
      <c r="K89">
        <v>5</v>
      </c>
      <c r="L89">
        <v>0</v>
      </c>
    </row>
    <row r="90" spans="2:12" x14ac:dyDescent="0.25">
      <c r="D90" t="s">
        <v>359</v>
      </c>
      <c r="E90" t="s">
        <v>360</v>
      </c>
      <c r="F90" s="22">
        <v>9</v>
      </c>
      <c r="G90" s="22">
        <v>17</v>
      </c>
      <c r="H90">
        <f t="shared" si="3"/>
        <v>9</v>
      </c>
      <c r="I90" t="s">
        <v>458</v>
      </c>
      <c r="K90" t="s">
        <v>526</v>
      </c>
      <c r="L90">
        <v>0</v>
      </c>
    </row>
    <row r="91" spans="2:12" x14ac:dyDescent="0.25">
      <c r="D91" t="s">
        <v>462</v>
      </c>
      <c r="E91" t="s">
        <v>469</v>
      </c>
      <c r="F91" s="22">
        <v>18</v>
      </c>
      <c r="G91" s="22">
        <v>23</v>
      </c>
      <c r="H91">
        <f t="shared" si="3"/>
        <v>6</v>
      </c>
      <c r="I91" t="s">
        <v>382</v>
      </c>
      <c r="J91" t="s">
        <v>461</v>
      </c>
      <c r="K91" t="s">
        <v>540</v>
      </c>
      <c r="L91">
        <v>0</v>
      </c>
    </row>
    <row r="92" spans="2:12" x14ac:dyDescent="0.25">
      <c r="D92" t="s">
        <v>510</v>
      </c>
      <c r="E92" t="s">
        <v>511</v>
      </c>
      <c r="F92" s="22">
        <v>24</v>
      </c>
      <c r="G92" s="22">
        <v>41</v>
      </c>
      <c r="H92">
        <f t="shared" si="3"/>
        <v>18</v>
      </c>
      <c r="I92" t="s">
        <v>512</v>
      </c>
      <c r="J92" t="s">
        <v>461</v>
      </c>
      <c r="K92" t="s">
        <v>541</v>
      </c>
      <c r="L92">
        <v>0</v>
      </c>
    </row>
    <row r="93" spans="2:12" x14ac:dyDescent="0.25">
      <c r="D93" t="s">
        <v>19</v>
      </c>
      <c r="E93" t="s">
        <v>360</v>
      </c>
      <c r="F93" s="22">
        <v>42</v>
      </c>
      <c r="G93" s="22">
        <v>59</v>
      </c>
      <c r="H93">
        <f t="shared" si="3"/>
        <v>18</v>
      </c>
      <c r="I93" t="s">
        <v>513</v>
      </c>
      <c r="K93" t="s">
        <v>518</v>
      </c>
      <c r="L93">
        <v>0</v>
      </c>
    </row>
    <row r="94" spans="2:12" x14ac:dyDescent="0.25">
      <c r="D94" t="s">
        <v>359</v>
      </c>
      <c r="E94" t="s">
        <v>360</v>
      </c>
      <c r="F94" s="22">
        <v>60</v>
      </c>
      <c r="G94" s="22">
        <v>230</v>
      </c>
      <c r="H94">
        <f t="shared" si="3"/>
        <v>171</v>
      </c>
      <c r="I94" t="s">
        <v>514</v>
      </c>
      <c r="K94" t="s">
        <v>538</v>
      </c>
      <c r="L94">
        <v>0</v>
      </c>
    </row>
    <row r="95" spans="2:12" x14ac:dyDescent="0.25">
      <c r="B95" s="46" t="s">
        <v>552</v>
      </c>
      <c r="C95" s="24" t="s">
        <v>346</v>
      </c>
      <c r="D95" t="s">
        <v>453</v>
      </c>
      <c r="E95" t="s">
        <v>470</v>
      </c>
      <c r="F95" s="22">
        <v>231</v>
      </c>
      <c r="G95" s="22">
        <v>240</v>
      </c>
      <c r="H95">
        <f t="shared" si="3"/>
        <v>10</v>
      </c>
      <c r="I95" t="s">
        <v>378</v>
      </c>
      <c r="J95" t="s">
        <v>455</v>
      </c>
      <c r="K95" t="s">
        <v>12</v>
      </c>
      <c r="L95">
        <v>0</v>
      </c>
    </row>
    <row r="96" spans="2:12" x14ac:dyDescent="0.25">
      <c r="B96" s="46"/>
      <c r="C96" s="24">
        <v>7</v>
      </c>
      <c r="D96" s="24" t="s">
        <v>391</v>
      </c>
      <c r="E96" s="24" t="s">
        <v>392</v>
      </c>
      <c r="F96" s="24" t="s">
        <v>393</v>
      </c>
      <c r="G96" s="24" t="s">
        <v>394</v>
      </c>
      <c r="H96" s="24" t="s">
        <v>23</v>
      </c>
      <c r="I96" s="24" t="s">
        <v>395</v>
      </c>
      <c r="J96" s="24" t="s">
        <v>22</v>
      </c>
      <c r="K96" s="24" t="s">
        <v>516</v>
      </c>
      <c r="L96" s="24" t="s">
        <v>21</v>
      </c>
    </row>
    <row r="97" spans="4:12" x14ac:dyDescent="0.25">
      <c r="D97" t="s">
        <v>350</v>
      </c>
      <c r="E97" t="s">
        <v>396</v>
      </c>
      <c r="F97" s="22">
        <v>1</v>
      </c>
      <c r="G97" s="22">
        <v>3</v>
      </c>
      <c r="H97">
        <f t="shared" ref="H97:H103" si="4">G97-F97+1</f>
        <v>3</v>
      </c>
      <c r="I97" t="s">
        <v>347</v>
      </c>
      <c r="J97" t="s">
        <v>3</v>
      </c>
      <c r="K97">
        <v>341</v>
      </c>
      <c r="L97">
        <v>0</v>
      </c>
    </row>
    <row r="98" spans="4:12" x14ac:dyDescent="0.25">
      <c r="D98" t="s">
        <v>352</v>
      </c>
      <c r="E98" t="s">
        <v>353</v>
      </c>
      <c r="F98" s="22">
        <v>4</v>
      </c>
      <c r="G98" s="22">
        <v>7</v>
      </c>
      <c r="H98">
        <f t="shared" si="4"/>
        <v>4</v>
      </c>
      <c r="I98" t="s">
        <v>354</v>
      </c>
      <c r="J98" t="s">
        <v>456</v>
      </c>
      <c r="K98">
        <v>9999</v>
      </c>
      <c r="L98">
        <v>0</v>
      </c>
    </row>
    <row r="99" spans="4:12" x14ac:dyDescent="0.25">
      <c r="D99" t="s">
        <v>356</v>
      </c>
      <c r="E99" t="s">
        <v>457</v>
      </c>
      <c r="F99" s="22">
        <v>8</v>
      </c>
      <c r="G99" s="22">
        <v>8</v>
      </c>
      <c r="H99">
        <f t="shared" si="4"/>
        <v>1</v>
      </c>
      <c r="I99" t="s">
        <v>358</v>
      </c>
      <c r="J99" t="s">
        <v>339</v>
      </c>
      <c r="K99">
        <v>9</v>
      </c>
      <c r="L99">
        <v>0</v>
      </c>
    </row>
    <row r="100" spans="4:12" x14ac:dyDescent="0.25">
      <c r="D100" t="s">
        <v>359</v>
      </c>
      <c r="E100" t="s">
        <v>360</v>
      </c>
      <c r="F100" s="22">
        <v>9</v>
      </c>
      <c r="G100" s="22">
        <v>17</v>
      </c>
      <c r="H100">
        <f t="shared" si="4"/>
        <v>9</v>
      </c>
      <c r="I100" t="s">
        <v>458</v>
      </c>
      <c r="K100" t="s">
        <v>526</v>
      </c>
      <c r="L100">
        <v>0</v>
      </c>
    </row>
    <row r="101" spans="4:12" x14ac:dyDescent="0.25">
      <c r="D101" t="s">
        <v>459</v>
      </c>
      <c r="E101" t="s">
        <v>460</v>
      </c>
      <c r="F101" s="22">
        <v>18</v>
      </c>
      <c r="G101" s="22">
        <v>23</v>
      </c>
      <c r="H101">
        <f t="shared" si="4"/>
        <v>6</v>
      </c>
      <c r="I101" t="s">
        <v>382</v>
      </c>
      <c r="J101" t="s">
        <v>461</v>
      </c>
      <c r="K101" t="s">
        <v>542</v>
      </c>
      <c r="L101">
        <v>0</v>
      </c>
    </row>
    <row r="102" spans="4:12" x14ac:dyDescent="0.25">
      <c r="D102" t="s">
        <v>462</v>
      </c>
      <c r="E102" t="s">
        <v>463</v>
      </c>
      <c r="F102" s="22">
        <v>24</v>
      </c>
      <c r="G102" s="22">
        <v>29</v>
      </c>
      <c r="H102">
        <f t="shared" si="4"/>
        <v>6</v>
      </c>
      <c r="I102" t="s">
        <v>382</v>
      </c>
      <c r="J102" t="s">
        <v>461</v>
      </c>
      <c r="K102" t="s">
        <v>334</v>
      </c>
      <c r="L102">
        <v>0</v>
      </c>
    </row>
    <row r="103" spans="4:12" x14ac:dyDescent="0.25">
      <c r="D103" t="s">
        <v>359</v>
      </c>
      <c r="E103" t="s">
        <v>360</v>
      </c>
      <c r="F103" s="22">
        <v>30</v>
      </c>
      <c r="G103" s="22">
        <v>240</v>
      </c>
      <c r="H103">
        <f t="shared" si="4"/>
        <v>211</v>
      </c>
      <c r="I103" t="s">
        <v>464</v>
      </c>
      <c r="K103" t="s">
        <v>539</v>
      </c>
      <c r="L103">
        <v>0</v>
      </c>
    </row>
    <row r="180" spans="3:3" x14ac:dyDescent="0.25">
      <c r="C180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E69F4-844B-440F-A332-461E5D3AA64A}">
  <sheetPr codeName="Planilha5"/>
  <dimension ref="A1:Z220"/>
  <sheetViews>
    <sheetView showGridLines="0" zoomScaleNormal="100" workbookViewId="0">
      <selection activeCell="C5" sqref="C5"/>
    </sheetView>
  </sheetViews>
  <sheetFormatPr defaultRowHeight="15" x14ac:dyDescent="0.25"/>
  <cols>
    <col min="2" max="2" width="15.140625" bestFit="1" customWidth="1"/>
    <col min="3" max="3" width="41.7109375" bestFit="1" customWidth="1"/>
    <col min="4" max="4" width="41.7109375" customWidth="1"/>
    <col min="5" max="5" width="10.7109375" bestFit="1" customWidth="1"/>
    <col min="6" max="6" width="8.7109375" bestFit="1" customWidth="1"/>
    <col min="7" max="7" width="8.7109375" customWidth="1"/>
    <col min="9" max="9" width="9.5703125" customWidth="1"/>
    <col min="10" max="10" width="66.42578125" bestFit="1" customWidth="1"/>
    <col min="11" max="11" width="14.140625" customWidth="1"/>
    <col min="13" max="13" width="31.85546875" bestFit="1" customWidth="1"/>
    <col min="16" max="16" width="56.7109375" bestFit="1" customWidth="1"/>
    <col min="17" max="17" width="16.5703125" bestFit="1" customWidth="1"/>
    <col min="19" max="19" width="14.85546875" bestFit="1" customWidth="1"/>
    <col min="20" max="20" width="14.42578125" bestFit="1" customWidth="1"/>
    <col min="21" max="21" width="47.42578125" bestFit="1" customWidth="1"/>
    <col min="22" max="22" width="11.85546875" bestFit="1" customWidth="1"/>
    <col min="23" max="23" width="16.28515625" customWidth="1"/>
    <col min="24" max="24" width="10.5703125" customWidth="1"/>
    <col min="25" max="25" width="14" customWidth="1"/>
    <col min="26" max="26" width="12" bestFit="1" customWidth="1"/>
    <col min="27" max="27" width="13.140625" customWidth="1"/>
    <col min="28" max="28" width="12.28515625" bestFit="1" customWidth="1"/>
  </cols>
  <sheetData>
    <row r="1" spans="1:26" ht="37.5" customHeight="1" x14ac:dyDescent="0.25">
      <c r="A1" s="6" t="s">
        <v>306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3" spans="1:26" x14ac:dyDescent="0.25">
      <c r="B3" s="8" t="s">
        <v>596</v>
      </c>
      <c r="C3" s="8"/>
      <c r="D3" s="7"/>
      <c r="E3" s="7"/>
      <c r="F3" s="7"/>
      <c r="G3" s="7"/>
      <c r="I3" s="49" t="s">
        <v>308</v>
      </c>
      <c r="J3" s="49"/>
      <c r="K3" s="49"/>
      <c r="M3" s="48" t="s">
        <v>85</v>
      </c>
      <c r="N3" s="48"/>
      <c r="P3" s="48" t="s">
        <v>56</v>
      </c>
      <c r="Q3" s="48"/>
    </row>
    <row r="4" spans="1:26" ht="15.75" x14ac:dyDescent="0.25">
      <c r="B4" s="29" t="s">
        <v>4</v>
      </c>
      <c r="C4" s="30" t="s">
        <v>307</v>
      </c>
      <c r="D4" s="30" t="s">
        <v>313</v>
      </c>
      <c r="E4" s="30" t="s">
        <v>314</v>
      </c>
      <c r="F4" s="30" t="s">
        <v>315</v>
      </c>
      <c r="G4" s="31" t="s">
        <v>9</v>
      </c>
      <c r="I4" s="29" t="s">
        <v>309</v>
      </c>
      <c r="J4" s="30" t="s">
        <v>310</v>
      </c>
      <c r="K4" s="31" t="s">
        <v>311</v>
      </c>
      <c r="M4" s="29" t="s">
        <v>318</v>
      </c>
      <c r="N4" s="31" t="s">
        <v>319</v>
      </c>
      <c r="P4" s="29" t="s">
        <v>320</v>
      </c>
      <c r="Q4" s="31" t="s">
        <v>319</v>
      </c>
    </row>
    <row r="5" spans="1:26" x14ac:dyDescent="0.25">
      <c r="B5" s="34" t="s">
        <v>553</v>
      </c>
      <c r="C5" s="9" t="s">
        <v>556</v>
      </c>
      <c r="D5" s="9" t="s">
        <v>559</v>
      </c>
      <c r="E5" s="21" t="s">
        <v>24</v>
      </c>
      <c r="F5" s="9">
        <v>11111</v>
      </c>
      <c r="G5" s="33">
        <v>1</v>
      </c>
      <c r="I5" s="32">
        <v>1</v>
      </c>
      <c r="J5" s="9" t="s">
        <v>87</v>
      </c>
      <c r="K5" s="33">
        <v>0</v>
      </c>
      <c r="M5" s="32" t="s">
        <v>26</v>
      </c>
      <c r="N5" s="33">
        <v>10</v>
      </c>
      <c r="P5" s="32" t="s">
        <v>33</v>
      </c>
      <c r="Q5" s="44" t="s">
        <v>61</v>
      </c>
    </row>
    <row r="6" spans="1:26" x14ac:dyDescent="0.25">
      <c r="B6" s="34" t="s">
        <v>554</v>
      </c>
      <c r="C6" s="9" t="s">
        <v>557</v>
      </c>
      <c r="D6" s="9" t="s">
        <v>560</v>
      </c>
      <c r="E6" s="21" t="s">
        <v>562</v>
      </c>
      <c r="F6" s="9">
        <v>22222</v>
      </c>
      <c r="G6" s="33">
        <v>2</v>
      </c>
      <c r="I6" s="32">
        <v>237</v>
      </c>
      <c r="J6" s="9" t="s">
        <v>88</v>
      </c>
      <c r="K6" s="33">
        <v>60746948</v>
      </c>
      <c r="M6" s="32" t="s">
        <v>27</v>
      </c>
      <c r="N6" s="33">
        <v>15</v>
      </c>
      <c r="P6" s="32" t="s">
        <v>34</v>
      </c>
      <c r="Q6" s="44" t="s">
        <v>321</v>
      </c>
    </row>
    <row r="7" spans="1:26" x14ac:dyDescent="0.25">
      <c r="B7" s="34" t="s">
        <v>555</v>
      </c>
      <c r="C7" s="9" t="s">
        <v>558</v>
      </c>
      <c r="D7" s="9" t="s">
        <v>561</v>
      </c>
      <c r="E7" s="21" t="s">
        <v>563</v>
      </c>
      <c r="F7" s="35">
        <v>22222</v>
      </c>
      <c r="G7" s="36">
        <v>3</v>
      </c>
      <c r="I7" s="32">
        <v>335</v>
      </c>
      <c r="J7" s="9" t="s">
        <v>89</v>
      </c>
      <c r="K7" s="33">
        <v>27098060</v>
      </c>
      <c r="M7" s="32" t="s">
        <v>28</v>
      </c>
      <c r="N7" s="33">
        <v>20</v>
      </c>
      <c r="P7" s="32" t="s">
        <v>35</v>
      </c>
      <c r="Q7" s="44" t="s">
        <v>322</v>
      </c>
    </row>
    <row r="8" spans="1:26" x14ac:dyDescent="0.25">
      <c r="I8" s="32">
        <v>260</v>
      </c>
      <c r="J8" s="9" t="s">
        <v>90</v>
      </c>
      <c r="K8" s="33">
        <v>18236120</v>
      </c>
      <c r="M8" s="32" t="s">
        <v>29</v>
      </c>
      <c r="N8" s="33">
        <v>22</v>
      </c>
      <c r="P8" s="32" t="s">
        <v>36</v>
      </c>
      <c r="Q8" s="44" t="s">
        <v>323</v>
      </c>
    </row>
    <row r="9" spans="1:26" x14ac:dyDescent="0.25">
      <c r="I9" s="32">
        <v>290</v>
      </c>
      <c r="J9" s="9" t="s">
        <v>91</v>
      </c>
      <c r="K9" s="33">
        <v>8561701</v>
      </c>
      <c r="M9" s="32" t="s">
        <v>30</v>
      </c>
      <c r="N9" s="33">
        <v>30</v>
      </c>
      <c r="P9" s="32" t="s">
        <v>37</v>
      </c>
      <c r="Q9" s="44" t="s">
        <v>324</v>
      </c>
    </row>
    <row r="10" spans="1:26" x14ac:dyDescent="0.25">
      <c r="I10" s="32">
        <v>380</v>
      </c>
      <c r="J10" s="9" t="s">
        <v>92</v>
      </c>
      <c r="K10" s="33">
        <v>22896431</v>
      </c>
      <c r="M10" s="32" t="s">
        <v>57</v>
      </c>
      <c r="N10" s="33">
        <v>40</v>
      </c>
      <c r="P10" s="32" t="s">
        <v>38</v>
      </c>
      <c r="Q10" s="44" t="s">
        <v>325</v>
      </c>
    </row>
    <row r="11" spans="1:26" x14ac:dyDescent="0.25">
      <c r="I11" s="32">
        <v>323</v>
      </c>
      <c r="J11" s="9" t="s">
        <v>93</v>
      </c>
      <c r="K11" s="33">
        <v>10573521</v>
      </c>
      <c r="M11" s="32" t="s">
        <v>58</v>
      </c>
      <c r="N11" s="33">
        <v>50</v>
      </c>
      <c r="P11" s="32" t="s">
        <v>39</v>
      </c>
      <c r="Q11" s="33">
        <v>10</v>
      </c>
    </row>
    <row r="12" spans="1:26" x14ac:dyDescent="0.25">
      <c r="B12" s="36"/>
      <c r="C12" s="37"/>
      <c r="D12" s="37"/>
      <c r="E12" s="37"/>
      <c r="F12" s="38"/>
      <c r="I12" s="32">
        <v>237</v>
      </c>
      <c r="J12" s="9" t="s">
        <v>94</v>
      </c>
      <c r="K12" s="33">
        <v>60746948</v>
      </c>
      <c r="M12" s="32" t="s">
        <v>59</v>
      </c>
      <c r="N12" s="33">
        <v>60</v>
      </c>
      <c r="P12" s="32" t="s">
        <v>40</v>
      </c>
      <c r="Q12" s="33">
        <v>13</v>
      </c>
    </row>
    <row r="13" spans="1:26" x14ac:dyDescent="0.25">
      <c r="B13" s="39"/>
      <c r="C13" s="28" t="s">
        <v>69</v>
      </c>
      <c r="D13" s="25"/>
      <c r="E13" s="25"/>
      <c r="F13" s="40"/>
      <c r="I13" s="32">
        <v>637</v>
      </c>
      <c r="J13" s="9" t="s">
        <v>95</v>
      </c>
      <c r="K13" s="33">
        <v>60889128</v>
      </c>
      <c r="M13" s="32" t="s">
        <v>60</v>
      </c>
      <c r="N13" s="33">
        <v>80</v>
      </c>
      <c r="P13" s="32" t="s">
        <v>41</v>
      </c>
      <c r="Q13" s="33">
        <v>16</v>
      </c>
    </row>
    <row r="14" spans="1:26" x14ac:dyDescent="0.25">
      <c r="B14" s="39"/>
      <c r="C14" s="25"/>
      <c r="D14" s="25"/>
      <c r="E14" s="25"/>
      <c r="F14" s="40"/>
      <c r="I14" s="32">
        <v>77</v>
      </c>
      <c r="J14" s="9" t="s">
        <v>96</v>
      </c>
      <c r="K14" s="33">
        <v>416968</v>
      </c>
      <c r="M14" s="32" t="s">
        <v>31</v>
      </c>
      <c r="N14" s="33">
        <v>90</v>
      </c>
      <c r="P14" s="32" t="s">
        <v>42</v>
      </c>
      <c r="Q14" s="33">
        <v>17</v>
      </c>
    </row>
    <row r="15" spans="1:26" x14ac:dyDescent="0.25">
      <c r="B15" s="39"/>
      <c r="C15" s="25"/>
      <c r="D15" s="25"/>
      <c r="E15" s="25"/>
      <c r="F15" s="40"/>
      <c r="I15" s="32">
        <v>341</v>
      </c>
      <c r="J15" s="9" t="s">
        <v>11</v>
      </c>
      <c r="K15" s="33">
        <v>60701190</v>
      </c>
      <c r="M15" s="38" t="s">
        <v>32</v>
      </c>
      <c r="N15" s="36">
        <v>98</v>
      </c>
      <c r="P15" s="32" t="s">
        <v>43</v>
      </c>
      <c r="Q15" s="33">
        <v>18</v>
      </c>
    </row>
    <row r="16" spans="1:26" x14ac:dyDescent="0.25">
      <c r="B16" s="39"/>
      <c r="C16" s="25"/>
      <c r="D16" s="25"/>
      <c r="E16" s="25"/>
      <c r="F16" s="40"/>
      <c r="I16" s="32">
        <v>104</v>
      </c>
      <c r="J16" s="9" t="s">
        <v>97</v>
      </c>
      <c r="K16" s="33">
        <v>360305</v>
      </c>
      <c r="P16" s="32" t="s">
        <v>44</v>
      </c>
      <c r="Q16" s="33">
        <v>19</v>
      </c>
    </row>
    <row r="17" spans="2:17" x14ac:dyDescent="0.25">
      <c r="B17" s="39"/>
      <c r="C17" s="25"/>
      <c r="D17" s="25"/>
      <c r="E17" s="25"/>
      <c r="F17" s="40"/>
      <c r="I17" s="32">
        <v>33</v>
      </c>
      <c r="J17" s="9" t="s">
        <v>98</v>
      </c>
      <c r="K17" s="33">
        <v>90400888</v>
      </c>
      <c r="P17" s="32" t="s">
        <v>45</v>
      </c>
      <c r="Q17" s="33">
        <v>22</v>
      </c>
    </row>
    <row r="18" spans="2:17" x14ac:dyDescent="0.25">
      <c r="B18" s="39"/>
      <c r="C18" s="25"/>
      <c r="D18" s="25"/>
      <c r="E18" s="25"/>
      <c r="F18" s="40"/>
      <c r="I18" s="32">
        <v>212</v>
      </c>
      <c r="J18" s="9" t="s">
        <v>99</v>
      </c>
      <c r="K18" s="33">
        <v>92894922</v>
      </c>
      <c r="P18" s="32" t="s">
        <v>46</v>
      </c>
      <c r="Q18" s="33">
        <v>25</v>
      </c>
    </row>
    <row r="19" spans="2:17" x14ac:dyDescent="0.25">
      <c r="B19" s="39"/>
      <c r="C19" s="25"/>
      <c r="D19" s="25"/>
      <c r="E19" s="25"/>
      <c r="F19" s="40"/>
      <c r="I19" s="32">
        <v>756</v>
      </c>
      <c r="J19" s="9" t="s">
        <v>100</v>
      </c>
      <c r="K19" s="33">
        <v>2038232</v>
      </c>
      <c r="P19" s="32" t="s">
        <v>47</v>
      </c>
      <c r="Q19" s="33">
        <v>27</v>
      </c>
    </row>
    <row r="20" spans="2:17" x14ac:dyDescent="0.25">
      <c r="B20" s="39"/>
      <c r="C20" s="25"/>
      <c r="D20" s="25"/>
      <c r="E20" s="25"/>
      <c r="F20" s="40"/>
      <c r="I20" s="32">
        <v>655</v>
      </c>
      <c r="J20" s="9" t="s">
        <v>101</v>
      </c>
      <c r="K20" s="33">
        <v>59588111</v>
      </c>
      <c r="P20" s="32" t="s">
        <v>48</v>
      </c>
      <c r="Q20" s="33">
        <v>30</v>
      </c>
    </row>
    <row r="21" spans="2:17" x14ac:dyDescent="0.25">
      <c r="B21" s="39"/>
      <c r="C21" s="25"/>
      <c r="D21" s="25"/>
      <c r="E21" s="25"/>
      <c r="F21" s="40"/>
      <c r="I21" s="32">
        <v>655</v>
      </c>
      <c r="J21" s="9" t="s">
        <v>102</v>
      </c>
      <c r="K21" s="33">
        <v>59588111</v>
      </c>
      <c r="P21" s="32" t="s">
        <v>49</v>
      </c>
      <c r="Q21" s="33">
        <v>31</v>
      </c>
    </row>
    <row r="22" spans="2:17" x14ac:dyDescent="0.25">
      <c r="B22" s="39"/>
      <c r="C22" s="25"/>
      <c r="D22" s="25"/>
      <c r="E22" s="25"/>
      <c r="F22" s="40"/>
      <c r="I22" s="32">
        <v>41</v>
      </c>
      <c r="J22" s="9" t="s">
        <v>103</v>
      </c>
      <c r="K22" s="33">
        <v>92702067</v>
      </c>
      <c r="P22" s="32" t="s">
        <v>50</v>
      </c>
      <c r="Q22" s="33">
        <v>32</v>
      </c>
    </row>
    <row r="23" spans="2:17" x14ac:dyDescent="0.25">
      <c r="B23" s="39"/>
      <c r="C23" s="25"/>
      <c r="D23" s="25"/>
      <c r="E23" s="25"/>
      <c r="F23" s="40"/>
      <c r="I23" s="32">
        <v>389</v>
      </c>
      <c r="J23" s="9" t="s">
        <v>104</v>
      </c>
      <c r="K23" s="33">
        <v>17184037</v>
      </c>
      <c r="P23" s="32" t="s">
        <v>51</v>
      </c>
      <c r="Q23" s="33">
        <v>35</v>
      </c>
    </row>
    <row r="24" spans="2:17" x14ac:dyDescent="0.25">
      <c r="B24" s="39"/>
      <c r="C24" s="25"/>
      <c r="D24" s="25"/>
      <c r="E24" s="25"/>
      <c r="F24" s="40"/>
      <c r="I24" s="32">
        <v>422</v>
      </c>
      <c r="J24" s="9" t="s">
        <v>105</v>
      </c>
      <c r="K24" s="33">
        <v>58160789</v>
      </c>
      <c r="P24" s="32" t="s">
        <v>52</v>
      </c>
      <c r="Q24" s="33">
        <v>41</v>
      </c>
    </row>
    <row r="25" spans="2:17" x14ac:dyDescent="0.25">
      <c r="B25" s="39"/>
      <c r="C25" s="25"/>
      <c r="D25" s="25"/>
      <c r="E25" s="25"/>
      <c r="F25" s="40"/>
      <c r="I25" s="32">
        <v>70</v>
      </c>
      <c r="J25" s="9" t="s">
        <v>106</v>
      </c>
      <c r="K25" s="33">
        <v>208</v>
      </c>
      <c r="P25" s="32" t="s">
        <v>53</v>
      </c>
      <c r="Q25" s="33">
        <v>43</v>
      </c>
    </row>
    <row r="26" spans="2:17" x14ac:dyDescent="0.25">
      <c r="B26" s="39"/>
      <c r="C26" s="25"/>
      <c r="D26" s="25"/>
      <c r="E26" s="25"/>
      <c r="F26" s="40"/>
      <c r="I26" s="32">
        <v>136</v>
      </c>
      <c r="J26" s="9" t="s">
        <v>107</v>
      </c>
      <c r="K26" s="33">
        <v>315557</v>
      </c>
      <c r="P26" s="32" t="s">
        <v>54</v>
      </c>
      <c r="Q26" s="33">
        <v>60</v>
      </c>
    </row>
    <row r="27" spans="2:17" x14ac:dyDescent="0.25">
      <c r="B27" s="39"/>
      <c r="C27" s="25"/>
      <c r="D27" s="25"/>
      <c r="E27" s="25"/>
      <c r="F27" s="40"/>
      <c r="I27" s="32">
        <v>741</v>
      </c>
      <c r="J27" s="9" t="s">
        <v>108</v>
      </c>
      <c r="K27" s="33">
        <v>517645</v>
      </c>
      <c r="P27" s="38" t="s">
        <v>55</v>
      </c>
      <c r="Q27" s="36">
        <v>91</v>
      </c>
    </row>
    <row r="28" spans="2:17" x14ac:dyDescent="0.25">
      <c r="B28" s="39"/>
      <c r="C28" s="25"/>
      <c r="D28" s="25"/>
      <c r="E28" s="25"/>
      <c r="F28" s="40"/>
      <c r="I28" s="32">
        <v>739</v>
      </c>
      <c r="J28" s="9" t="s">
        <v>109</v>
      </c>
      <c r="K28" s="33">
        <v>558456</v>
      </c>
    </row>
    <row r="29" spans="2:17" x14ac:dyDescent="0.25">
      <c r="B29" s="39"/>
      <c r="C29" s="25"/>
      <c r="D29" s="25"/>
      <c r="E29" s="25"/>
      <c r="F29" s="40"/>
      <c r="I29" s="32">
        <v>743</v>
      </c>
      <c r="J29" s="9" t="s">
        <v>110</v>
      </c>
      <c r="K29" s="33">
        <v>795423</v>
      </c>
    </row>
    <row r="30" spans="2:17" x14ac:dyDescent="0.25">
      <c r="B30" s="39"/>
      <c r="C30" s="25"/>
      <c r="D30" s="25"/>
      <c r="E30" s="25"/>
      <c r="F30" s="40"/>
      <c r="I30" s="32">
        <v>100</v>
      </c>
      <c r="J30" s="9" t="s">
        <v>111</v>
      </c>
      <c r="K30" s="33">
        <v>806535</v>
      </c>
    </row>
    <row r="31" spans="2:17" x14ac:dyDescent="0.25">
      <c r="B31" s="39"/>
      <c r="C31" s="25"/>
      <c r="D31" s="25"/>
      <c r="E31" s="25"/>
      <c r="F31" s="40"/>
      <c r="I31" s="32">
        <v>96</v>
      </c>
      <c r="J31" s="9" t="s">
        <v>112</v>
      </c>
      <c r="K31" s="33">
        <v>997185</v>
      </c>
    </row>
    <row r="32" spans="2:17" x14ac:dyDescent="0.25">
      <c r="B32" s="39"/>
      <c r="C32" s="25"/>
      <c r="D32" s="25"/>
      <c r="E32" s="25"/>
      <c r="F32" s="40"/>
      <c r="I32" s="32">
        <v>747</v>
      </c>
      <c r="J32" s="9" t="s">
        <v>113</v>
      </c>
      <c r="K32" s="33">
        <v>1023570</v>
      </c>
    </row>
    <row r="33" spans="2:11" x14ac:dyDescent="0.25">
      <c r="B33" s="39"/>
      <c r="C33" s="25"/>
      <c r="D33" s="25"/>
      <c r="E33" s="25"/>
      <c r="F33" s="40"/>
      <c r="I33" s="32">
        <v>748</v>
      </c>
      <c r="J33" s="9" t="s">
        <v>114</v>
      </c>
      <c r="K33" s="33">
        <v>1181521</v>
      </c>
    </row>
    <row r="34" spans="2:11" x14ac:dyDescent="0.25">
      <c r="B34" s="39"/>
      <c r="C34" s="25"/>
      <c r="D34" s="25"/>
      <c r="E34" s="25"/>
      <c r="F34" s="40"/>
      <c r="I34" s="32">
        <v>752</v>
      </c>
      <c r="J34" s="9" t="s">
        <v>115</v>
      </c>
      <c r="K34" s="33">
        <v>1522368</v>
      </c>
    </row>
    <row r="35" spans="2:11" x14ac:dyDescent="0.25">
      <c r="B35" s="39"/>
      <c r="C35" s="25"/>
      <c r="D35" s="25"/>
      <c r="E35" s="25"/>
      <c r="F35" s="40"/>
      <c r="I35" s="32">
        <v>91</v>
      </c>
      <c r="J35" s="9" t="s">
        <v>116</v>
      </c>
      <c r="K35" s="33">
        <v>1634601</v>
      </c>
    </row>
    <row r="36" spans="2:11" x14ac:dyDescent="0.25">
      <c r="B36" s="39"/>
      <c r="C36" s="25"/>
      <c r="D36" s="25"/>
      <c r="E36" s="25"/>
      <c r="F36" s="40"/>
      <c r="I36" s="32">
        <v>399</v>
      </c>
      <c r="J36" s="9" t="s">
        <v>117</v>
      </c>
      <c r="K36" s="33">
        <v>1701201</v>
      </c>
    </row>
    <row r="37" spans="2:11" x14ac:dyDescent="0.25">
      <c r="B37" s="39"/>
      <c r="C37" s="25"/>
      <c r="D37" s="25"/>
      <c r="E37" s="25"/>
      <c r="F37" s="40"/>
      <c r="I37" s="32">
        <v>108</v>
      </c>
      <c r="J37" s="9" t="s">
        <v>118</v>
      </c>
      <c r="K37" s="33">
        <v>1800019</v>
      </c>
    </row>
    <row r="38" spans="2:11" x14ac:dyDescent="0.25">
      <c r="B38" s="39"/>
      <c r="C38" s="25"/>
      <c r="D38" s="25"/>
      <c r="E38" s="25"/>
      <c r="F38" s="40"/>
      <c r="I38" s="32">
        <v>757</v>
      </c>
      <c r="J38" s="9" t="s">
        <v>119</v>
      </c>
      <c r="K38" s="33">
        <v>2318507</v>
      </c>
    </row>
    <row r="39" spans="2:11" x14ac:dyDescent="0.25">
      <c r="B39" s="39"/>
      <c r="C39" s="25"/>
      <c r="D39" s="25"/>
      <c r="E39" s="25"/>
      <c r="F39" s="40"/>
      <c r="I39" s="32">
        <v>102</v>
      </c>
      <c r="J39" s="9" t="s">
        <v>120</v>
      </c>
      <c r="K39" s="33">
        <v>2332886</v>
      </c>
    </row>
    <row r="40" spans="2:11" x14ac:dyDescent="0.25">
      <c r="B40" s="39"/>
      <c r="C40" s="25"/>
      <c r="D40" s="25"/>
      <c r="E40" s="25"/>
      <c r="F40" s="40"/>
      <c r="I40" s="32">
        <v>348</v>
      </c>
      <c r="J40" s="9" t="s">
        <v>121</v>
      </c>
      <c r="K40" s="33">
        <v>33264668</v>
      </c>
    </row>
    <row r="41" spans="2:11" x14ac:dyDescent="0.25">
      <c r="B41" s="39"/>
      <c r="C41" s="25"/>
      <c r="D41" s="25"/>
      <c r="E41" s="25"/>
      <c r="F41" s="40"/>
      <c r="I41" s="32">
        <v>340</v>
      </c>
      <c r="J41" s="9" t="s">
        <v>122</v>
      </c>
      <c r="K41" s="33">
        <v>9554480</v>
      </c>
    </row>
    <row r="42" spans="2:11" x14ac:dyDescent="0.25">
      <c r="B42" s="39"/>
      <c r="C42" s="25"/>
      <c r="D42" s="25"/>
      <c r="E42" s="25"/>
      <c r="F42" s="40"/>
      <c r="I42" s="32">
        <v>364</v>
      </c>
      <c r="J42" s="9" t="s">
        <v>123</v>
      </c>
      <c r="K42" s="33">
        <v>9089356</v>
      </c>
    </row>
    <row r="43" spans="2:11" x14ac:dyDescent="0.25">
      <c r="B43" s="39"/>
      <c r="C43" s="25"/>
      <c r="D43" s="25"/>
      <c r="E43" s="25"/>
      <c r="F43" s="40"/>
      <c r="I43" s="32">
        <v>84</v>
      </c>
      <c r="J43" s="9" t="s">
        <v>124</v>
      </c>
      <c r="K43" s="33">
        <v>2398976</v>
      </c>
    </row>
    <row r="44" spans="2:11" x14ac:dyDescent="0.25">
      <c r="B44" s="39"/>
      <c r="C44" s="25"/>
      <c r="D44" s="25"/>
      <c r="E44" s="25"/>
      <c r="F44" s="40"/>
      <c r="I44" s="32">
        <v>180</v>
      </c>
      <c r="J44" s="9" t="s">
        <v>125</v>
      </c>
      <c r="K44" s="33">
        <v>2685483</v>
      </c>
    </row>
    <row r="45" spans="2:11" x14ac:dyDescent="0.25">
      <c r="B45" s="39"/>
      <c r="C45" s="25"/>
      <c r="D45" s="25"/>
      <c r="E45" s="25"/>
      <c r="F45" s="40"/>
      <c r="I45" s="32">
        <v>66</v>
      </c>
      <c r="J45" s="9" t="s">
        <v>126</v>
      </c>
      <c r="K45" s="33">
        <v>2801938</v>
      </c>
    </row>
    <row r="46" spans="2:11" x14ac:dyDescent="0.25">
      <c r="B46" s="39"/>
      <c r="C46" s="25"/>
      <c r="D46" s="25"/>
      <c r="E46" s="25"/>
      <c r="F46" s="40"/>
      <c r="I46" s="32">
        <v>15</v>
      </c>
      <c r="J46" s="9" t="s">
        <v>127</v>
      </c>
      <c r="K46" s="33">
        <v>2819125</v>
      </c>
    </row>
    <row r="47" spans="2:11" x14ac:dyDescent="0.25">
      <c r="B47" s="39"/>
      <c r="C47" s="25"/>
      <c r="D47" s="25"/>
      <c r="E47" s="25"/>
      <c r="F47" s="40"/>
      <c r="I47" s="32">
        <v>143</v>
      </c>
      <c r="J47" s="9" t="s">
        <v>128</v>
      </c>
      <c r="K47" s="33">
        <v>2992317</v>
      </c>
    </row>
    <row r="48" spans="2:11" x14ac:dyDescent="0.25">
      <c r="B48" s="39"/>
      <c r="C48" s="25"/>
      <c r="D48" s="25"/>
      <c r="E48" s="25"/>
      <c r="F48" s="40"/>
      <c r="I48" s="32">
        <v>62</v>
      </c>
      <c r="J48" s="9" t="s">
        <v>129</v>
      </c>
      <c r="K48" s="33">
        <v>3012230</v>
      </c>
    </row>
    <row r="49" spans="2:11" x14ac:dyDescent="0.25">
      <c r="B49" s="39"/>
      <c r="C49" s="25"/>
      <c r="D49" s="25"/>
      <c r="E49" s="25"/>
      <c r="F49" s="40"/>
      <c r="I49" s="32">
        <v>74</v>
      </c>
      <c r="J49" s="9" t="s">
        <v>130</v>
      </c>
      <c r="K49" s="33">
        <v>3017677</v>
      </c>
    </row>
    <row r="50" spans="2:11" x14ac:dyDescent="0.25">
      <c r="B50" s="41"/>
      <c r="C50" s="42"/>
      <c r="D50" s="42"/>
      <c r="E50" s="42"/>
      <c r="F50" s="43"/>
      <c r="I50" s="32">
        <v>99</v>
      </c>
      <c r="J50" s="9" t="s">
        <v>131</v>
      </c>
      <c r="K50" s="33">
        <v>3046391</v>
      </c>
    </row>
    <row r="51" spans="2:11" x14ac:dyDescent="0.25">
      <c r="I51" s="32">
        <v>25</v>
      </c>
      <c r="J51" s="9" t="s">
        <v>132</v>
      </c>
      <c r="K51" s="33">
        <v>3323840</v>
      </c>
    </row>
    <row r="52" spans="2:11" x14ac:dyDescent="0.25">
      <c r="I52" s="32">
        <v>75</v>
      </c>
      <c r="J52" s="9" t="s">
        <v>133</v>
      </c>
      <c r="K52" s="33">
        <v>3532415</v>
      </c>
    </row>
    <row r="53" spans="2:11" x14ac:dyDescent="0.25">
      <c r="I53" s="32">
        <v>40</v>
      </c>
      <c r="J53" s="9" t="s">
        <v>134</v>
      </c>
      <c r="K53" s="33">
        <v>3609817</v>
      </c>
    </row>
    <row r="54" spans="2:11" x14ac:dyDescent="0.25">
      <c r="I54" s="32">
        <v>190</v>
      </c>
      <c r="J54" s="9" t="s">
        <v>135</v>
      </c>
      <c r="K54" s="33">
        <v>3973814</v>
      </c>
    </row>
    <row r="55" spans="2:11" x14ac:dyDescent="0.25">
      <c r="I55" s="32">
        <v>63</v>
      </c>
      <c r="J55" s="9" t="s">
        <v>136</v>
      </c>
      <c r="K55" s="33">
        <v>4184779</v>
      </c>
    </row>
    <row r="56" spans="2:11" x14ac:dyDescent="0.25">
      <c r="I56" s="32">
        <v>191</v>
      </c>
      <c r="J56" s="9" t="s">
        <v>137</v>
      </c>
      <c r="K56" s="33">
        <v>4257795</v>
      </c>
    </row>
    <row r="57" spans="2:11" x14ac:dyDescent="0.25">
      <c r="I57" s="32">
        <v>64</v>
      </c>
      <c r="J57" s="9" t="s">
        <v>138</v>
      </c>
      <c r="K57" s="33">
        <v>4332281</v>
      </c>
    </row>
    <row r="58" spans="2:11" x14ac:dyDescent="0.25">
      <c r="I58" s="32">
        <v>97</v>
      </c>
      <c r="J58" s="9" t="s">
        <v>139</v>
      </c>
      <c r="K58" s="33">
        <v>4632856</v>
      </c>
    </row>
    <row r="59" spans="2:11" x14ac:dyDescent="0.25">
      <c r="I59" s="32">
        <v>16</v>
      </c>
      <c r="J59" s="9" t="s">
        <v>140</v>
      </c>
      <c r="K59" s="33">
        <v>4715685</v>
      </c>
    </row>
    <row r="60" spans="2:11" x14ac:dyDescent="0.25">
      <c r="I60" s="32">
        <v>12</v>
      </c>
      <c r="J60" s="9" t="s">
        <v>141</v>
      </c>
      <c r="K60" s="33">
        <v>4866275</v>
      </c>
    </row>
    <row r="61" spans="2:11" x14ac:dyDescent="0.25">
      <c r="I61" s="32">
        <v>3</v>
      </c>
      <c r="J61" s="9" t="s">
        <v>142</v>
      </c>
      <c r="K61" s="33">
        <v>4902979</v>
      </c>
    </row>
    <row r="62" spans="2:11" x14ac:dyDescent="0.25">
      <c r="I62" s="32">
        <v>60</v>
      </c>
      <c r="J62" s="9" t="s">
        <v>143</v>
      </c>
      <c r="K62" s="33">
        <v>4913129</v>
      </c>
    </row>
    <row r="63" spans="2:11" x14ac:dyDescent="0.25">
      <c r="I63" s="32">
        <v>37</v>
      </c>
      <c r="J63" s="9" t="s">
        <v>144</v>
      </c>
      <c r="K63" s="33">
        <v>4913711</v>
      </c>
    </row>
    <row r="64" spans="2:11" x14ac:dyDescent="0.25">
      <c r="I64" s="32">
        <v>159</v>
      </c>
      <c r="J64" s="9" t="s">
        <v>145</v>
      </c>
      <c r="K64" s="33">
        <v>5442029</v>
      </c>
    </row>
    <row r="65" spans="9:11" x14ac:dyDescent="0.25">
      <c r="I65" s="32">
        <v>172</v>
      </c>
      <c r="J65" s="9" t="s">
        <v>146</v>
      </c>
      <c r="K65" s="33">
        <v>5452073</v>
      </c>
    </row>
    <row r="66" spans="9:11" x14ac:dyDescent="0.25">
      <c r="I66" s="32">
        <v>85</v>
      </c>
      <c r="J66" s="9" t="s">
        <v>147</v>
      </c>
      <c r="K66" s="33">
        <v>5463212</v>
      </c>
    </row>
    <row r="67" spans="9:11" x14ac:dyDescent="0.25">
      <c r="I67" s="32">
        <v>114</v>
      </c>
      <c r="J67" s="9" t="s">
        <v>148</v>
      </c>
      <c r="K67" s="33">
        <v>5790149</v>
      </c>
    </row>
    <row r="68" spans="9:11" x14ac:dyDescent="0.25">
      <c r="I68" s="32">
        <v>36</v>
      </c>
      <c r="J68" s="9" t="s">
        <v>149</v>
      </c>
      <c r="K68" s="33">
        <v>6271464</v>
      </c>
    </row>
    <row r="69" spans="9:11" x14ac:dyDescent="0.25">
      <c r="I69" s="32">
        <v>394</v>
      </c>
      <c r="J69" s="9" t="s">
        <v>150</v>
      </c>
      <c r="K69" s="33">
        <v>7207996</v>
      </c>
    </row>
    <row r="70" spans="9:11" x14ac:dyDescent="0.25">
      <c r="I70" s="32">
        <v>4</v>
      </c>
      <c r="J70" s="9" t="s">
        <v>151</v>
      </c>
      <c r="K70" s="33">
        <v>7237373</v>
      </c>
    </row>
    <row r="71" spans="9:11" x14ac:dyDescent="0.25">
      <c r="I71" s="32">
        <v>320</v>
      </c>
      <c r="J71" s="9" t="s">
        <v>152</v>
      </c>
      <c r="K71" s="33">
        <v>7450604</v>
      </c>
    </row>
    <row r="72" spans="9:11" x14ac:dyDescent="0.25">
      <c r="I72" s="32">
        <v>189</v>
      </c>
      <c r="J72" s="9" t="s">
        <v>153</v>
      </c>
      <c r="K72" s="33">
        <v>7512441</v>
      </c>
    </row>
    <row r="73" spans="9:11" x14ac:dyDescent="0.25">
      <c r="I73" s="32">
        <v>105</v>
      </c>
      <c r="J73" s="9" t="s">
        <v>154</v>
      </c>
      <c r="K73" s="33">
        <v>7652226</v>
      </c>
    </row>
    <row r="74" spans="9:11" x14ac:dyDescent="0.25">
      <c r="I74" s="32">
        <v>76</v>
      </c>
      <c r="J74" s="9" t="s">
        <v>155</v>
      </c>
      <c r="K74" s="33">
        <v>7656500</v>
      </c>
    </row>
    <row r="75" spans="9:11" x14ac:dyDescent="0.25">
      <c r="I75" s="32">
        <v>82</v>
      </c>
      <c r="J75" s="9" t="s">
        <v>156</v>
      </c>
      <c r="K75" s="33">
        <v>7679404</v>
      </c>
    </row>
    <row r="76" spans="9:11" x14ac:dyDescent="0.25">
      <c r="I76" s="32">
        <v>286</v>
      </c>
      <c r="J76" s="9" t="s">
        <v>157</v>
      </c>
      <c r="K76" s="33">
        <v>7853842</v>
      </c>
    </row>
    <row r="77" spans="9:11" x14ac:dyDescent="0.25">
      <c r="I77" s="32">
        <v>93</v>
      </c>
      <c r="J77" s="9" t="s">
        <v>158</v>
      </c>
      <c r="K77" s="33">
        <v>7945233</v>
      </c>
    </row>
    <row r="78" spans="9:11" x14ac:dyDescent="0.25">
      <c r="I78" s="32">
        <v>273</v>
      </c>
      <c r="J78" s="9" t="s">
        <v>159</v>
      </c>
      <c r="K78" s="33">
        <v>8253539</v>
      </c>
    </row>
    <row r="79" spans="9:11" x14ac:dyDescent="0.25">
      <c r="I79" s="32">
        <v>157</v>
      </c>
      <c r="J79" s="9" t="s">
        <v>160</v>
      </c>
      <c r="K79" s="33">
        <v>9105360</v>
      </c>
    </row>
    <row r="80" spans="9:11" x14ac:dyDescent="0.25">
      <c r="I80" s="32">
        <v>183</v>
      </c>
      <c r="J80" s="9" t="s">
        <v>161</v>
      </c>
      <c r="K80" s="33">
        <v>9210106</v>
      </c>
    </row>
    <row r="81" spans="9:11" x14ac:dyDescent="0.25">
      <c r="I81" s="32">
        <v>14</v>
      </c>
      <c r="J81" s="9" t="s">
        <v>162</v>
      </c>
      <c r="K81" s="33">
        <v>9274232</v>
      </c>
    </row>
    <row r="82" spans="9:11" x14ac:dyDescent="0.25">
      <c r="I82" s="32">
        <v>130</v>
      </c>
      <c r="J82" s="9" t="s">
        <v>163</v>
      </c>
      <c r="K82" s="33">
        <v>9313766</v>
      </c>
    </row>
    <row r="83" spans="9:11" x14ac:dyDescent="0.25">
      <c r="I83" s="32">
        <v>127</v>
      </c>
      <c r="J83" s="9" t="s">
        <v>164</v>
      </c>
      <c r="K83" s="33">
        <v>9512542</v>
      </c>
    </row>
    <row r="84" spans="9:11" x14ac:dyDescent="0.25">
      <c r="I84" s="32">
        <v>79</v>
      </c>
      <c r="J84" s="9" t="s">
        <v>165</v>
      </c>
      <c r="K84" s="33">
        <v>9516419</v>
      </c>
    </row>
    <row r="85" spans="9:11" x14ac:dyDescent="0.25">
      <c r="I85" s="32">
        <v>81</v>
      </c>
      <c r="J85" s="9" t="s">
        <v>166</v>
      </c>
      <c r="K85" s="33">
        <v>10264663</v>
      </c>
    </row>
    <row r="86" spans="9:11" x14ac:dyDescent="0.25">
      <c r="I86" s="32">
        <v>118</v>
      </c>
      <c r="J86" s="9" t="s">
        <v>167</v>
      </c>
      <c r="K86" s="33">
        <v>11932017</v>
      </c>
    </row>
    <row r="87" spans="9:11" x14ac:dyDescent="0.25">
      <c r="I87" s="32">
        <v>133</v>
      </c>
      <c r="J87" s="9" t="s">
        <v>168</v>
      </c>
      <c r="K87" s="33">
        <v>10398952</v>
      </c>
    </row>
    <row r="88" spans="9:11" x14ac:dyDescent="0.25">
      <c r="I88" s="32">
        <v>121</v>
      </c>
      <c r="J88" s="9" t="s">
        <v>169</v>
      </c>
      <c r="K88" s="33">
        <v>10664513</v>
      </c>
    </row>
    <row r="89" spans="9:11" x14ac:dyDescent="0.25">
      <c r="I89" s="32">
        <v>83</v>
      </c>
      <c r="J89" s="9" t="s">
        <v>170</v>
      </c>
      <c r="K89" s="33">
        <v>10690848</v>
      </c>
    </row>
    <row r="90" spans="9:11" x14ac:dyDescent="0.25">
      <c r="I90" s="32">
        <v>138</v>
      </c>
      <c r="J90" s="9" t="s">
        <v>171</v>
      </c>
      <c r="K90" s="33">
        <v>10853017</v>
      </c>
    </row>
    <row r="91" spans="9:11" x14ac:dyDescent="0.25">
      <c r="I91" s="32">
        <v>24</v>
      </c>
      <c r="J91" s="9" t="s">
        <v>172</v>
      </c>
      <c r="K91" s="33">
        <v>10866788</v>
      </c>
    </row>
    <row r="92" spans="9:11" x14ac:dyDescent="0.25">
      <c r="I92" s="32">
        <v>95</v>
      </c>
      <c r="J92" s="9" t="s">
        <v>173</v>
      </c>
      <c r="K92" s="33">
        <v>11703662</v>
      </c>
    </row>
    <row r="93" spans="9:11" x14ac:dyDescent="0.25">
      <c r="I93" s="32">
        <v>94</v>
      </c>
      <c r="J93" s="9" t="s">
        <v>174</v>
      </c>
      <c r="K93" s="33">
        <v>11758741</v>
      </c>
    </row>
    <row r="94" spans="9:11" x14ac:dyDescent="0.25">
      <c r="I94" s="32">
        <v>276</v>
      </c>
      <c r="J94" s="9" t="s">
        <v>175</v>
      </c>
      <c r="K94" s="33">
        <v>11970623</v>
      </c>
    </row>
    <row r="95" spans="9:11" x14ac:dyDescent="0.25">
      <c r="I95" s="32">
        <v>137</v>
      </c>
      <c r="J95" s="9" t="s">
        <v>176</v>
      </c>
      <c r="K95" s="33">
        <v>12586596</v>
      </c>
    </row>
    <row r="96" spans="9:11" x14ac:dyDescent="0.25">
      <c r="I96" s="32">
        <v>92</v>
      </c>
      <c r="J96" s="9" t="s">
        <v>177</v>
      </c>
      <c r="K96" s="33">
        <v>12865507</v>
      </c>
    </row>
    <row r="97" spans="9:11" x14ac:dyDescent="0.25">
      <c r="I97" s="32">
        <v>47</v>
      </c>
      <c r="J97" s="9" t="s">
        <v>178</v>
      </c>
      <c r="K97" s="33">
        <v>13009717</v>
      </c>
    </row>
    <row r="98" spans="9:11" x14ac:dyDescent="0.25">
      <c r="I98" s="32">
        <v>144</v>
      </c>
      <c r="J98" s="9" t="s">
        <v>179</v>
      </c>
      <c r="K98" s="33">
        <v>13059145</v>
      </c>
    </row>
    <row r="99" spans="9:11" x14ac:dyDescent="0.25">
      <c r="I99" s="32">
        <v>126</v>
      </c>
      <c r="J99" s="9" t="s">
        <v>180</v>
      </c>
      <c r="K99" s="33">
        <v>13220493</v>
      </c>
    </row>
    <row r="100" spans="9:11" x14ac:dyDescent="0.25">
      <c r="I100" s="32">
        <v>301</v>
      </c>
      <c r="J100" s="9" t="s">
        <v>181</v>
      </c>
      <c r="K100" s="33">
        <v>13370835</v>
      </c>
    </row>
    <row r="101" spans="9:11" x14ac:dyDescent="0.25">
      <c r="I101" s="32">
        <v>173</v>
      </c>
      <c r="J101" s="9" t="s">
        <v>182</v>
      </c>
      <c r="K101" s="33">
        <v>13486793</v>
      </c>
    </row>
    <row r="102" spans="9:11" x14ac:dyDescent="0.25">
      <c r="I102" s="32">
        <v>119</v>
      </c>
      <c r="J102" s="9" t="s">
        <v>183</v>
      </c>
      <c r="K102" s="33">
        <v>13720915</v>
      </c>
    </row>
    <row r="103" spans="9:11" x14ac:dyDescent="0.25">
      <c r="I103" s="32">
        <v>254</v>
      </c>
      <c r="J103" s="9" t="s">
        <v>184</v>
      </c>
      <c r="K103" s="33">
        <v>14388334</v>
      </c>
    </row>
    <row r="104" spans="9:11" x14ac:dyDescent="0.25">
      <c r="I104" s="32">
        <v>268</v>
      </c>
      <c r="J104" s="9" t="s">
        <v>185</v>
      </c>
      <c r="K104" s="33">
        <v>14511781</v>
      </c>
    </row>
    <row r="105" spans="9:11" x14ac:dyDescent="0.25">
      <c r="I105" s="32">
        <v>107</v>
      </c>
      <c r="J105" s="9" t="s">
        <v>186</v>
      </c>
      <c r="K105" s="33">
        <v>15114366</v>
      </c>
    </row>
    <row r="106" spans="9:11" x14ac:dyDescent="0.25">
      <c r="I106" s="32">
        <v>412</v>
      </c>
      <c r="J106" s="9" t="s">
        <v>187</v>
      </c>
      <c r="K106" s="33">
        <v>15173776</v>
      </c>
    </row>
    <row r="107" spans="9:11" x14ac:dyDescent="0.25">
      <c r="I107" s="32">
        <v>124</v>
      </c>
      <c r="J107" s="9" t="s">
        <v>188</v>
      </c>
      <c r="K107" s="33">
        <v>15357060</v>
      </c>
    </row>
    <row r="108" spans="9:11" x14ac:dyDescent="0.25">
      <c r="I108" s="32">
        <v>149</v>
      </c>
      <c r="J108" s="9" t="s">
        <v>189</v>
      </c>
      <c r="K108" s="33">
        <v>15581638</v>
      </c>
    </row>
    <row r="109" spans="9:11" x14ac:dyDescent="0.25">
      <c r="I109" s="32">
        <v>197</v>
      </c>
      <c r="J109" s="9" t="s">
        <v>190</v>
      </c>
      <c r="K109" s="33">
        <v>16501555</v>
      </c>
    </row>
    <row r="110" spans="9:11" x14ac:dyDescent="0.25">
      <c r="I110" s="32">
        <v>142</v>
      </c>
      <c r="J110" s="9" t="s">
        <v>191</v>
      </c>
      <c r="K110" s="33">
        <v>16944141</v>
      </c>
    </row>
    <row r="111" spans="9:11" x14ac:dyDescent="0.25">
      <c r="I111" s="32">
        <v>389</v>
      </c>
      <c r="J111" s="9" t="s">
        <v>192</v>
      </c>
      <c r="K111" s="33">
        <v>17184037</v>
      </c>
    </row>
    <row r="112" spans="9:11" x14ac:dyDescent="0.25">
      <c r="I112" s="32">
        <v>184</v>
      </c>
      <c r="J112" s="9" t="s">
        <v>193</v>
      </c>
      <c r="K112" s="33">
        <v>17298092</v>
      </c>
    </row>
    <row r="113" spans="9:11" x14ac:dyDescent="0.25">
      <c r="I113" s="32">
        <v>634</v>
      </c>
      <c r="J113" s="9" t="s">
        <v>194</v>
      </c>
      <c r="K113" s="33">
        <v>17351180</v>
      </c>
    </row>
    <row r="114" spans="9:11" x14ac:dyDescent="0.25">
      <c r="I114" s="32">
        <v>545</v>
      </c>
      <c r="J114" s="9" t="s">
        <v>195</v>
      </c>
      <c r="K114" s="33">
        <v>17352220</v>
      </c>
    </row>
    <row r="115" spans="9:11" x14ac:dyDescent="0.25">
      <c r="I115" s="32">
        <v>132</v>
      </c>
      <c r="J115" s="9" t="s">
        <v>196</v>
      </c>
      <c r="K115" s="33">
        <v>17453575</v>
      </c>
    </row>
    <row r="116" spans="9:11" x14ac:dyDescent="0.25">
      <c r="I116" s="32">
        <v>298</v>
      </c>
      <c r="J116" s="9" t="s">
        <v>197</v>
      </c>
      <c r="K116" s="33">
        <v>17772370</v>
      </c>
    </row>
    <row r="117" spans="9:11" x14ac:dyDescent="0.25">
      <c r="I117" s="32">
        <v>129</v>
      </c>
      <c r="J117" s="9" t="s">
        <v>198</v>
      </c>
      <c r="K117" s="33">
        <v>18520834</v>
      </c>
    </row>
    <row r="118" spans="9:11" x14ac:dyDescent="0.25">
      <c r="I118" s="32">
        <v>128</v>
      </c>
      <c r="J118" s="9" t="s">
        <v>199</v>
      </c>
      <c r="K118" s="33">
        <v>19307785</v>
      </c>
    </row>
    <row r="119" spans="9:11" x14ac:dyDescent="0.25">
      <c r="I119" s="32">
        <v>194</v>
      </c>
      <c r="J119" s="9" t="s">
        <v>200</v>
      </c>
      <c r="K119" s="33">
        <v>20155248</v>
      </c>
    </row>
    <row r="120" spans="9:11" x14ac:dyDescent="0.25">
      <c r="I120" s="32">
        <v>310</v>
      </c>
      <c r="J120" s="9" t="s">
        <v>201</v>
      </c>
      <c r="K120" s="33">
        <v>22610500</v>
      </c>
    </row>
    <row r="121" spans="9:11" x14ac:dyDescent="0.25">
      <c r="I121" s="32">
        <v>163</v>
      </c>
      <c r="J121" s="9" t="s">
        <v>202</v>
      </c>
      <c r="K121" s="33">
        <v>23522214</v>
      </c>
    </row>
    <row r="122" spans="9:11" x14ac:dyDescent="0.25">
      <c r="I122" s="32">
        <v>280</v>
      </c>
      <c r="J122" s="9" t="s">
        <v>203</v>
      </c>
      <c r="K122" s="33">
        <v>23862762</v>
      </c>
    </row>
    <row r="123" spans="9:11" x14ac:dyDescent="0.25">
      <c r="I123" s="32">
        <v>146</v>
      </c>
      <c r="J123" s="9" t="s">
        <v>204</v>
      </c>
      <c r="K123" s="33">
        <v>24074692</v>
      </c>
    </row>
    <row r="124" spans="9:11" x14ac:dyDescent="0.25">
      <c r="I124" s="32">
        <v>279</v>
      </c>
      <c r="J124" s="9" t="s">
        <v>205</v>
      </c>
      <c r="K124" s="33">
        <v>26563270</v>
      </c>
    </row>
    <row r="125" spans="9:11" x14ac:dyDescent="0.25">
      <c r="I125" s="32">
        <v>182</v>
      </c>
      <c r="J125" s="9" t="s">
        <v>206</v>
      </c>
      <c r="K125" s="33">
        <v>27406222</v>
      </c>
    </row>
    <row r="126" spans="9:11" x14ac:dyDescent="0.25">
      <c r="I126" s="32">
        <v>278</v>
      </c>
      <c r="J126" s="9" t="s">
        <v>207</v>
      </c>
      <c r="K126" s="33">
        <v>27652684</v>
      </c>
    </row>
    <row r="127" spans="9:11" x14ac:dyDescent="0.25">
      <c r="I127" s="32">
        <v>271</v>
      </c>
      <c r="J127" s="9" t="s">
        <v>208</v>
      </c>
      <c r="K127" s="33">
        <v>27842177</v>
      </c>
    </row>
    <row r="128" spans="9:11" x14ac:dyDescent="0.25">
      <c r="I128" s="32">
        <v>21</v>
      </c>
      <c r="J128" s="9" t="s">
        <v>209</v>
      </c>
      <c r="K128" s="33">
        <v>28127603</v>
      </c>
    </row>
    <row r="129" spans="9:11" x14ac:dyDescent="0.25">
      <c r="I129" s="32">
        <v>246</v>
      </c>
      <c r="J129" s="9" t="s">
        <v>210</v>
      </c>
      <c r="K129" s="33">
        <v>28195667</v>
      </c>
    </row>
    <row r="130" spans="9:11" x14ac:dyDescent="0.25">
      <c r="I130" s="32">
        <v>751</v>
      </c>
      <c r="J130" s="9" t="s">
        <v>211</v>
      </c>
      <c r="K130" s="33">
        <v>29030467</v>
      </c>
    </row>
    <row r="131" spans="9:11" x14ac:dyDescent="0.25">
      <c r="I131" s="32">
        <v>208</v>
      </c>
      <c r="J131" s="9" t="s">
        <v>212</v>
      </c>
      <c r="K131" s="33">
        <v>30306294</v>
      </c>
    </row>
    <row r="132" spans="9:11" x14ac:dyDescent="0.25">
      <c r="I132" s="32">
        <v>746</v>
      </c>
      <c r="J132" s="9" t="s">
        <v>213</v>
      </c>
      <c r="K132" s="33">
        <v>30723886</v>
      </c>
    </row>
    <row r="133" spans="9:11" x14ac:dyDescent="0.25">
      <c r="I133" s="32">
        <v>241</v>
      </c>
      <c r="J133" s="9" t="s">
        <v>214</v>
      </c>
      <c r="K133" s="33">
        <v>31597552</v>
      </c>
    </row>
    <row r="134" spans="9:11" x14ac:dyDescent="0.25">
      <c r="I134" s="32">
        <v>612</v>
      </c>
      <c r="J134" s="9" t="s">
        <v>215</v>
      </c>
      <c r="K134" s="33">
        <v>31880826</v>
      </c>
    </row>
    <row r="135" spans="9:11" x14ac:dyDescent="0.25">
      <c r="I135" s="32">
        <v>604</v>
      </c>
      <c r="J135" s="9" t="s">
        <v>216</v>
      </c>
      <c r="K135" s="33">
        <v>31895683</v>
      </c>
    </row>
    <row r="136" spans="9:11" x14ac:dyDescent="0.25">
      <c r="I136" s="32">
        <v>505</v>
      </c>
      <c r="J136" s="9" t="s">
        <v>217</v>
      </c>
      <c r="K136" s="33">
        <v>32062580</v>
      </c>
    </row>
    <row r="137" spans="9:11" x14ac:dyDescent="0.25">
      <c r="I137" s="32">
        <v>196</v>
      </c>
      <c r="J137" s="9" t="s">
        <v>218</v>
      </c>
      <c r="K137" s="33">
        <v>32648370</v>
      </c>
    </row>
    <row r="138" spans="9:11" x14ac:dyDescent="0.25">
      <c r="I138" s="32">
        <v>300</v>
      </c>
      <c r="J138" s="9" t="s">
        <v>219</v>
      </c>
      <c r="K138" s="33">
        <v>33042151</v>
      </c>
    </row>
    <row r="139" spans="9:11" x14ac:dyDescent="0.25">
      <c r="I139" s="32">
        <v>477</v>
      </c>
      <c r="J139" s="9" t="s">
        <v>220</v>
      </c>
      <c r="K139" s="33">
        <v>33042953</v>
      </c>
    </row>
    <row r="140" spans="9:11" x14ac:dyDescent="0.25">
      <c r="I140" s="32">
        <v>266</v>
      </c>
      <c r="J140" s="9" t="s">
        <v>221</v>
      </c>
      <c r="K140" s="33">
        <v>33132044</v>
      </c>
    </row>
    <row r="141" spans="9:11" x14ac:dyDescent="0.25">
      <c r="I141" s="32">
        <v>122</v>
      </c>
      <c r="J141" s="9" t="s">
        <v>222</v>
      </c>
      <c r="K141" s="33">
        <v>33147315</v>
      </c>
    </row>
    <row r="142" spans="9:11" x14ac:dyDescent="0.25">
      <c r="I142" s="32">
        <v>376</v>
      </c>
      <c r="J142" s="9" t="s">
        <v>223</v>
      </c>
      <c r="K142" s="33">
        <v>33172537</v>
      </c>
    </row>
    <row r="143" spans="9:11" x14ac:dyDescent="0.25">
      <c r="I143" s="32">
        <v>473</v>
      </c>
      <c r="J143" s="9" t="s">
        <v>224</v>
      </c>
      <c r="K143" s="33">
        <v>33466988</v>
      </c>
    </row>
    <row r="144" spans="9:11" x14ac:dyDescent="0.25">
      <c r="I144" s="32">
        <v>745</v>
      </c>
      <c r="J144" s="9" t="s">
        <v>225</v>
      </c>
      <c r="K144" s="33">
        <v>33479023</v>
      </c>
    </row>
    <row r="145" spans="9:11" x14ac:dyDescent="0.25">
      <c r="I145" s="32">
        <v>120</v>
      </c>
      <c r="J145" s="9" t="s">
        <v>226</v>
      </c>
      <c r="K145" s="33">
        <v>33603457</v>
      </c>
    </row>
    <row r="146" spans="9:11" x14ac:dyDescent="0.25">
      <c r="I146" s="32">
        <v>265</v>
      </c>
      <c r="J146" s="9" t="s">
        <v>227</v>
      </c>
      <c r="K146" s="33">
        <v>33644196</v>
      </c>
    </row>
    <row r="147" spans="9:11" x14ac:dyDescent="0.25">
      <c r="I147" s="32">
        <v>7</v>
      </c>
      <c r="J147" s="9" t="s">
        <v>228</v>
      </c>
      <c r="K147" s="33">
        <v>33657248</v>
      </c>
    </row>
    <row r="148" spans="9:11" x14ac:dyDescent="0.25">
      <c r="I148" s="32">
        <v>188</v>
      </c>
      <c r="J148" s="9" t="s">
        <v>229</v>
      </c>
      <c r="K148" s="33">
        <v>33775974</v>
      </c>
    </row>
    <row r="149" spans="9:11" x14ac:dyDescent="0.25">
      <c r="I149" s="32">
        <v>134</v>
      </c>
      <c r="J149" s="9" t="s">
        <v>230</v>
      </c>
      <c r="K149" s="33">
        <v>33862244</v>
      </c>
    </row>
    <row r="150" spans="9:11" x14ac:dyDescent="0.25">
      <c r="I150" s="32">
        <v>641</v>
      </c>
      <c r="J150" s="9" t="s">
        <v>231</v>
      </c>
      <c r="K150" s="33">
        <v>33870163</v>
      </c>
    </row>
    <row r="151" spans="9:11" x14ac:dyDescent="0.25">
      <c r="I151" s="32">
        <v>29</v>
      </c>
      <c r="J151" s="9" t="s">
        <v>232</v>
      </c>
      <c r="K151" s="33">
        <v>33885724</v>
      </c>
    </row>
    <row r="152" spans="9:11" x14ac:dyDescent="0.25">
      <c r="I152" s="32">
        <v>243</v>
      </c>
      <c r="J152" s="9" t="s">
        <v>233</v>
      </c>
      <c r="K152" s="33">
        <v>33923798</v>
      </c>
    </row>
    <row r="153" spans="9:11" x14ac:dyDescent="0.25">
      <c r="I153" s="32">
        <v>78</v>
      </c>
      <c r="J153" s="9" t="s">
        <v>234</v>
      </c>
      <c r="K153" s="33">
        <v>34111187</v>
      </c>
    </row>
    <row r="154" spans="9:11" x14ac:dyDescent="0.25">
      <c r="I154" s="32">
        <v>111</v>
      </c>
      <c r="J154" s="9" t="s">
        <v>235</v>
      </c>
      <c r="K154" s="33">
        <v>36113876</v>
      </c>
    </row>
    <row r="155" spans="9:11" x14ac:dyDescent="0.25">
      <c r="I155" s="32">
        <v>17</v>
      </c>
      <c r="J155" s="9" t="s">
        <v>236</v>
      </c>
      <c r="K155" s="33">
        <v>42272526</v>
      </c>
    </row>
    <row r="156" spans="9:11" x14ac:dyDescent="0.25">
      <c r="I156" s="32">
        <v>174</v>
      </c>
      <c r="J156" s="9" t="s">
        <v>237</v>
      </c>
      <c r="K156" s="33">
        <v>43180355</v>
      </c>
    </row>
    <row r="157" spans="9:11" x14ac:dyDescent="0.25">
      <c r="I157" s="32">
        <v>495</v>
      </c>
      <c r="J157" s="9" t="s">
        <v>238</v>
      </c>
      <c r="K157" s="33">
        <v>44189447</v>
      </c>
    </row>
    <row r="158" spans="9:11" x14ac:dyDescent="0.25">
      <c r="I158" s="32">
        <v>125</v>
      </c>
      <c r="J158" s="9" t="s">
        <v>239</v>
      </c>
      <c r="K158" s="33">
        <v>45246410</v>
      </c>
    </row>
    <row r="159" spans="9:11" x14ac:dyDescent="0.25">
      <c r="I159" s="32">
        <v>488</v>
      </c>
      <c r="J159" s="9" t="s">
        <v>240</v>
      </c>
      <c r="K159" s="33">
        <v>46518205</v>
      </c>
    </row>
    <row r="160" spans="9:11" x14ac:dyDescent="0.25">
      <c r="I160" s="32">
        <v>65</v>
      </c>
      <c r="J160" s="9" t="s">
        <v>241</v>
      </c>
      <c r="K160" s="33">
        <v>48795256</v>
      </c>
    </row>
    <row r="161" spans="9:11" x14ac:dyDescent="0.25">
      <c r="I161" s="32">
        <v>492</v>
      </c>
      <c r="J161" s="9" t="s">
        <v>242</v>
      </c>
      <c r="K161" s="33">
        <v>49336860</v>
      </c>
    </row>
    <row r="162" spans="9:11" x14ac:dyDescent="0.25">
      <c r="I162" s="32">
        <v>250</v>
      </c>
      <c r="J162" s="9" t="s">
        <v>243</v>
      </c>
      <c r="K162" s="33">
        <v>50585090</v>
      </c>
    </row>
    <row r="163" spans="9:11" x14ac:dyDescent="0.25">
      <c r="I163" s="32">
        <v>145</v>
      </c>
      <c r="J163" s="9" t="s">
        <v>244</v>
      </c>
      <c r="K163" s="33">
        <v>50579044</v>
      </c>
    </row>
    <row r="164" spans="9:11" x14ac:dyDescent="0.25">
      <c r="I164" s="32">
        <v>494</v>
      </c>
      <c r="J164" s="9" t="s">
        <v>245</v>
      </c>
      <c r="K164" s="33">
        <v>51938876</v>
      </c>
    </row>
    <row r="165" spans="9:11" x14ac:dyDescent="0.25">
      <c r="I165" s="32">
        <v>253</v>
      </c>
      <c r="J165" s="9" t="s">
        <v>246</v>
      </c>
      <c r="K165" s="33">
        <v>52937216</v>
      </c>
    </row>
    <row r="166" spans="9:11" x14ac:dyDescent="0.25">
      <c r="I166" s="32">
        <v>269</v>
      </c>
      <c r="J166" s="9" t="s">
        <v>247</v>
      </c>
      <c r="K166" s="33">
        <v>53518684</v>
      </c>
    </row>
    <row r="167" spans="9:11" x14ac:dyDescent="0.25">
      <c r="I167" s="32">
        <v>213</v>
      </c>
      <c r="J167" s="9" t="s">
        <v>248</v>
      </c>
      <c r="K167" s="33">
        <v>54403563</v>
      </c>
    </row>
    <row r="168" spans="9:11" x14ac:dyDescent="0.25">
      <c r="I168" s="32">
        <v>139</v>
      </c>
      <c r="J168" s="9" t="s">
        <v>249</v>
      </c>
      <c r="K168" s="33">
        <v>55230916</v>
      </c>
    </row>
    <row r="169" spans="9:11" x14ac:dyDescent="0.25">
      <c r="I169" s="32">
        <v>18</v>
      </c>
      <c r="J169" s="9" t="s">
        <v>250</v>
      </c>
      <c r="K169" s="33">
        <v>57839805</v>
      </c>
    </row>
    <row r="170" spans="9:11" x14ac:dyDescent="0.25">
      <c r="I170" s="32">
        <v>630</v>
      </c>
      <c r="J170" s="9" t="s">
        <v>251</v>
      </c>
      <c r="K170" s="33">
        <v>58497702</v>
      </c>
    </row>
    <row r="171" spans="9:11" x14ac:dyDescent="0.25">
      <c r="I171" s="32">
        <v>224</v>
      </c>
      <c r="J171" s="9" t="s">
        <v>252</v>
      </c>
      <c r="K171" s="33">
        <v>58616418</v>
      </c>
    </row>
    <row r="172" spans="9:11" x14ac:dyDescent="0.25">
      <c r="I172" s="32">
        <v>600</v>
      </c>
      <c r="J172" s="9" t="s">
        <v>253</v>
      </c>
      <c r="K172" s="33">
        <v>59118133</v>
      </c>
    </row>
    <row r="173" spans="9:11" x14ac:dyDescent="0.25">
      <c r="I173" s="32">
        <v>623</v>
      </c>
      <c r="J173" s="9" t="s">
        <v>254</v>
      </c>
      <c r="K173" s="33">
        <v>59285411</v>
      </c>
    </row>
    <row r="174" spans="9:11" x14ac:dyDescent="0.25">
      <c r="I174" s="32">
        <v>204</v>
      </c>
      <c r="J174" s="9" t="s">
        <v>255</v>
      </c>
      <c r="K174" s="33">
        <v>59438325</v>
      </c>
    </row>
    <row r="175" spans="9:11" x14ac:dyDescent="0.25">
      <c r="I175" s="32">
        <v>479</v>
      </c>
      <c r="J175" s="9" t="s">
        <v>256</v>
      </c>
      <c r="K175" s="33">
        <v>60394079</v>
      </c>
    </row>
    <row r="176" spans="9:11" x14ac:dyDescent="0.25">
      <c r="I176" s="32">
        <v>456</v>
      </c>
      <c r="J176" s="9" t="s">
        <v>257</v>
      </c>
      <c r="K176" s="33">
        <v>60498557</v>
      </c>
    </row>
    <row r="177" spans="9:11" x14ac:dyDescent="0.25">
      <c r="I177" s="32">
        <v>464</v>
      </c>
      <c r="J177" s="9" t="s">
        <v>258</v>
      </c>
      <c r="K177" s="33">
        <v>60518222</v>
      </c>
    </row>
    <row r="178" spans="9:11" x14ac:dyDescent="0.25">
      <c r="I178" s="32">
        <v>613</v>
      </c>
      <c r="J178" s="9" t="s">
        <v>259</v>
      </c>
      <c r="K178" s="33">
        <v>60850229</v>
      </c>
    </row>
    <row r="179" spans="9:11" x14ac:dyDescent="0.25">
      <c r="I179" s="32">
        <v>652</v>
      </c>
      <c r="J179" s="9" t="s">
        <v>260</v>
      </c>
      <c r="K179" s="33">
        <v>60872504</v>
      </c>
    </row>
    <row r="180" spans="9:11" x14ac:dyDescent="0.25">
      <c r="I180" s="32">
        <v>653</v>
      </c>
      <c r="J180" s="9" t="s">
        <v>261</v>
      </c>
      <c r="K180" s="33">
        <v>61024352</v>
      </c>
    </row>
    <row r="181" spans="9:11" x14ac:dyDescent="0.25">
      <c r="I181" s="32">
        <v>69</v>
      </c>
      <c r="J181" s="9" t="s">
        <v>262</v>
      </c>
      <c r="K181" s="33">
        <v>61033106</v>
      </c>
    </row>
    <row r="182" spans="9:11" x14ac:dyDescent="0.25">
      <c r="I182" s="32">
        <v>370</v>
      </c>
      <c r="J182" s="9" t="s">
        <v>263</v>
      </c>
      <c r="K182" s="33">
        <v>61088183</v>
      </c>
    </row>
    <row r="183" spans="9:11" x14ac:dyDescent="0.25">
      <c r="I183" s="32">
        <v>249</v>
      </c>
      <c r="J183" s="9" t="s">
        <v>264</v>
      </c>
      <c r="K183" s="33">
        <v>61182408</v>
      </c>
    </row>
    <row r="184" spans="9:11" x14ac:dyDescent="0.25">
      <c r="I184" s="32">
        <v>318</v>
      </c>
      <c r="J184" s="9" t="s">
        <v>265</v>
      </c>
      <c r="K184" s="33">
        <v>61186680</v>
      </c>
    </row>
    <row r="185" spans="9:11" x14ac:dyDescent="0.25">
      <c r="I185" s="32">
        <v>626</v>
      </c>
      <c r="J185" s="9" t="s">
        <v>266</v>
      </c>
      <c r="K185" s="33">
        <v>61348538</v>
      </c>
    </row>
    <row r="186" spans="9:11" x14ac:dyDescent="0.25">
      <c r="I186" s="32">
        <v>270</v>
      </c>
      <c r="J186" s="9" t="s">
        <v>267</v>
      </c>
      <c r="K186" s="33">
        <v>61444949</v>
      </c>
    </row>
    <row r="187" spans="9:11" x14ac:dyDescent="0.25">
      <c r="I187" s="32">
        <v>366</v>
      </c>
      <c r="J187" s="9" t="s">
        <v>268</v>
      </c>
      <c r="K187" s="33">
        <v>61533584</v>
      </c>
    </row>
    <row r="188" spans="9:11" x14ac:dyDescent="0.25">
      <c r="I188" s="32">
        <v>113</v>
      </c>
      <c r="J188" s="9" t="s">
        <v>269</v>
      </c>
      <c r="K188" s="33">
        <v>61723847</v>
      </c>
    </row>
    <row r="189" spans="9:11" x14ac:dyDescent="0.25">
      <c r="I189" s="32">
        <v>131</v>
      </c>
      <c r="J189" s="9" t="s">
        <v>270</v>
      </c>
      <c r="K189" s="33">
        <v>61747085</v>
      </c>
    </row>
    <row r="190" spans="9:11" x14ac:dyDescent="0.25">
      <c r="I190" s="32">
        <v>11</v>
      </c>
      <c r="J190" s="9" t="s">
        <v>271</v>
      </c>
      <c r="K190" s="33">
        <v>61809182</v>
      </c>
    </row>
    <row r="191" spans="9:11" x14ac:dyDescent="0.25">
      <c r="I191" s="32">
        <v>611</v>
      </c>
      <c r="J191" s="9" t="s">
        <v>272</v>
      </c>
      <c r="K191" s="33">
        <v>61820817</v>
      </c>
    </row>
    <row r="192" spans="9:11" x14ac:dyDescent="0.25">
      <c r="I192" s="32">
        <v>755</v>
      </c>
      <c r="J192" s="9" t="s">
        <v>273</v>
      </c>
      <c r="K192" s="33">
        <v>62073200</v>
      </c>
    </row>
    <row r="193" spans="9:11" x14ac:dyDescent="0.25">
      <c r="I193" s="32">
        <v>89</v>
      </c>
      <c r="J193" s="9" t="s">
        <v>274</v>
      </c>
      <c r="K193" s="33">
        <v>62109566</v>
      </c>
    </row>
    <row r="194" spans="9:11" x14ac:dyDescent="0.25">
      <c r="I194" s="32">
        <v>643</v>
      </c>
      <c r="J194" s="9" t="s">
        <v>275</v>
      </c>
      <c r="K194" s="33">
        <v>62144175</v>
      </c>
    </row>
    <row r="195" spans="9:11" x14ac:dyDescent="0.25">
      <c r="I195" s="32">
        <v>140</v>
      </c>
      <c r="J195" s="9" t="s">
        <v>276</v>
      </c>
      <c r="K195" s="33">
        <v>62169875</v>
      </c>
    </row>
    <row r="196" spans="9:11" x14ac:dyDescent="0.25">
      <c r="I196" s="32">
        <v>707</v>
      </c>
      <c r="J196" s="9" t="s">
        <v>277</v>
      </c>
      <c r="K196" s="33">
        <v>62232889</v>
      </c>
    </row>
    <row r="197" spans="9:11" x14ac:dyDescent="0.25">
      <c r="I197" s="32">
        <v>288</v>
      </c>
      <c r="J197" s="9" t="s">
        <v>278</v>
      </c>
      <c r="K197" s="33">
        <v>62237649</v>
      </c>
    </row>
    <row r="198" spans="9:11" x14ac:dyDescent="0.25">
      <c r="I198" s="32">
        <v>101</v>
      </c>
      <c r="J198" s="9" t="s">
        <v>279</v>
      </c>
      <c r="K198" s="33">
        <v>62287735</v>
      </c>
    </row>
    <row r="199" spans="9:11" x14ac:dyDescent="0.25">
      <c r="I199" s="32">
        <v>487</v>
      </c>
      <c r="J199" s="9" t="s">
        <v>280</v>
      </c>
      <c r="K199" s="33">
        <v>62331228</v>
      </c>
    </row>
    <row r="200" spans="9:11" x14ac:dyDescent="0.25">
      <c r="I200" s="32">
        <v>233</v>
      </c>
      <c r="J200" s="9" t="s">
        <v>281</v>
      </c>
      <c r="K200" s="33">
        <v>62421979</v>
      </c>
    </row>
    <row r="201" spans="9:11" x14ac:dyDescent="0.25">
      <c r="I201" s="32">
        <v>177</v>
      </c>
      <c r="J201" s="9" t="s">
        <v>282</v>
      </c>
      <c r="K201" s="33">
        <v>65913436</v>
      </c>
    </row>
    <row r="202" spans="9:11" x14ac:dyDescent="0.25">
      <c r="I202" s="32">
        <v>633</v>
      </c>
      <c r="J202" s="9" t="s">
        <v>283</v>
      </c>
      <c r="K202" s="33">
        <v>68900810</v>
      </c>
    </row>
    <row r="203" spans="9:11" x14ac:dyDescent="0.25">
      <c r="I203" s="32">
        <v>218</v>
      </c>
      <c r="J203" s="9" t="s">
        <v>284</v>
      </c>
      <c r="K203" s="33">
        <v>71027866</v>
      </c>
    </row>
    <row r="204" spans="9:11" x14ac:dyDescent="0.25">
      <c r="I204" s="32">
        <v>292</v>
      </c>
      <c r="J204" s="9" t="s">
        <v>285</v>
      </c>
      <c r="K204" s="33">
        <v>28650236</v>
      </c>
    </row>
    <row r="205" spans="9:11" x14ac:dyDescent="0.25">
      <c r="I205" s="32">
        <v>169</v>
      </c>
      <c r="J205" s="9" t="s">
        <v>286</v>
      </c>
      <c r="K205" s="33">
        <v>71371686</v>
      </c>
    </row>
    <row r="206" spans="9:11" x14ac:dyDescent="0.25">
      <c r="I206" s="32">
        <v>293</v>
      </c>
      <c r="J206" s="9" t="s">
        <v>287</v>
      </c>
      <c r="K206" s="33">
        <v>71590442</v>
      </c>
    </row>
    <row r="207" spans="9:11" x14ac:dyDescent="0.25">
      <c r="I207" s="32">
        <v>285</v>
      </c>
      <c r="J207" s="9" t="s">
        <v>288</v>
      </c>
      <c r="K207" s="33">
        <v>71677850</v>
      </c>
    </row>
    <row r="208" spans="9:11" x14ac:dyDescent="0.25">
      <c r="I208" s="32">
        <v>80</v>
      </c>
      <c r="J208" s="9" t="s">
        <v>289</v>
      </c>
      <c r="K208" s="33">
        <v>73622748</v>
      </c>
    </row>
    <row r="209" spans="9:11" x14ac:dyDescent="0.25">
      <c r="I209" s="32">
        <v>753</v>
      </c>
      <c r="J209" s="9" t="s">
        <v>290</v>
      </c>
      <c r="K209" s="33">
        <v>74828799</v>
      </c>
    </row>
    <row r="210" spans="9:11" x14ac:dyDescent="0.25">
      <c r="I210" s="32">
        <v>222</v>
      </c>
      <c r="J210" s="9" t="s">
        <v>291</v>
      </c>
      <c r="K210" s="33">
        <v>75647891</v>
      </c>
    </row>
    <row r="211" spans="9:11" x14ac:dyDescent="0.25">
      <c r="I211" s="32">
        <v>754</v>
      </c>
      <c r="J211" s="9" t="s">
        <v>292</v>
      </c>
      <c r="K211" s="33">
        <v>76543115</v>
      </c>
    </row>
    <row r="212" spans="9:11" x14ac:dyDescent="0.25">
      <c r="I212" s="32">
        <v>98</v>
      </c>
      <c r="J212" s="9" t="s">
        <v>293</v>
      </c>
      <c r="K212" s="33">
        <v>78157146</v>
      </c>
    </row>
    <row r="213" spans="9:11" x14ac:dyDescent="0.25">
      <c r="I213" s="32">
        <v>610</v>
      </c>
      <c r="J213" s="9" t="s">
        <v>294</v>
      </c>
      <c r="K213" s="33">
        <v>78626983</v>
      </c>
    </row>
    <row r="214" spans="9:11" x14ac:dyDescent="0.25">
      <c r="I214" s="32">
        <v>712</v>
      </c>
      <c r="J214" s="9" t="s">
        <v>295</v>
      </c>
      <c r="K214" s="33">
        <v>78632767</v>
      </c>
    </row>
    <row r="215" spans="9:11" x14ac:dyDescent="0.25">
      <c r="I215" s="32">
        <v>10</v>
      </c>
      <c r="J215" s="9" t="s">
        <v>296</v>
      </c>
      <c r="K215" s="33">
        <v>81723108</v>
      </c>
    </row>
    <row r="216" spans="9:11" x14ac:dyDescent="0.25">
      <c r="I216" s="32">
        <v>283</v>
      </c>
      <c r="J216" s="9" t="s">
        <v>297</v>
      </c>
      <c r="K216" s="33">
        <v>89960090</v>
      </c>
    </row>
    <row r="217" spans="9:11" x14ac:dyDescent="0.25">
      <c r="I217" s="32">
        <v>217</v>
      </c>
      <c r="J217" s="9" t="s">
        <v>298</v>
      </c>
      <c r="K217" s="33">
        <v>91884981</v>
      </c>
    </row>
    <row r="218" spans="9:11" x14ac:dyDescent="0.25">
      <c r="I218" s="32">
        <v>117</v>
      </c>
      <c r="J218" s="9" t="s">
        <v>299</v>
      </c>
      <c r="K218" s="33">
        <v>92856905</v>
      </c>
    </row>
    <row r="219" spans="9:11" x14ac:dyDescent="0.25">
      <c r="I219" s="32">
        <v>336</v>
      </c>
      <c r="J219" s="9" t="s">
        <v>300</v>
      </c>
      <c r="K219" s="33">
        <v>28326000</v>
      </c>
    </row>
    <row r="220" spans="9:11" x14ac:dyDescent="0.25">
      <c r="I220" s="38">
        <v>654</v>
      </c>
      <c r="J220" s="35" t="s">
        <v>301</v>
      </c>
      <c r="K220" s="36">
        <v>92874270</v>
      </c>
    </row>
  </sheetData>
  <mergeCells count="3">
    <mergeCell ref="I3:K3"/>
    <mergeCell ref="M3:N3"/>
    <mergeCell ref="P3:Q3"/>
  </mergeCells>
  <phoneticPr fontId="9" type="noConversion"/>
  <pageMargins left="0.511811024" right="0.511811024" top="0.78740157499999996" bottom="0.78740157499999996" header="0.31496062000000002" footer="0.31496062000000002"/>
  <ignoredErrors>
    <ignoredError sqref="Q5:Q10" numberStoredAsText="1"/>
  </ignoredErrors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6</vt:i4>
      </vt:variant>
    </vt:vector>
  </HeadingPairs>
  <TitlesOfParts>
    <vt:vector size="14" baseType="lpstr">
      <vt:lpstr>Planilha1</vt:lpstr>
      <vt:lpstr>Arquivo</vt:lpstr>
      <vt:lpstr>Lote</vt:lpstr>
      <vt:lpstr>Lote Datalhe</vt:lpstr>
      <vt:lpstr>Lote Datalhe (2)</vt:lpstr>
      <vt:lpstr>Saída</vt:lpstr>
      <vt:lpstr>Consulta</vt:lpstr>
      <vt:lpstr>Listas</vt:lpstr>
      <vt:lpstr>'Lote Datalhe (2)'!CNPJs</vt:lpstr>
      <vt:lpstr>CNPJs</vt:lpstr>
      <vt:lpstr>'Lote Datalhe (2)'!FormaPgmt</vt:lpstr>
      <vt:lpstr>FormaPgmt</vt:lpstr>
      <vt:lpstr>'Lote Datalhe (2)'!TipoPgmt</vt:lpstr>
      <vt:lpstr>TipoPgmt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Garib</dc:creator>
  <cp:lastModifiedBy>William Garib</cp:lastModifiedBy>
  <dcterms:created xsi:type="dcterms:W3CDTF">2021-09-29T15:02:23Z</dcterms:created>
  <dcterms:modified xsi:type="dcterms:W3CDTF">2022-07-14T00:47:11Z</dcterms:modified>
</cp:coreProperties>
</file>